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uilh\Desktop\"/>
    </mc:Choice>
  </mc:AlternateContent>
  <xr:revisionPtr revIDLastSave="0" documentId="13_ncr:1_{C13211CC-D965-4F97-B3E3-D6A1B018781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OLHA-ADM" sheetId="2" r:id="rId1"/>
    <sheet name="Plan1" sheetId="1" r:id="rId2"/>
    <sheet name="DASHBOARD" sheetId="3" r:id="rId3"/>
  </sheets>
  <definedNames>
    <definedName name="_xlcn.WorksheetConnection_DADOS.xlsmANALISE_361" hidden="1">ANALISE_36</definedName>
    <definedName name="_xlcn.WorksheetConnection_DADOS.xlsmANALISE_DEP1" hidden="1">ANALISE_37[]</definedName>
    <definedName name="_xlcn.WorksheetConnection_DADOS.xlsmFOLHA_ADM1" hidden="1">FOLHA_ADM[]</definedName>
    <definedName name="_xlcn.WorksheetConnection_DADOS.xlsmTabela31" hidden="1">ANALISE_35</definedName>
    <definedName name="_xleta.SUM" hidden="1" xlm="1">#NAME?</definedName>
    <definedName name="DadosExternos_1" localSheetId="0" hidden="1">'FOLHA-ADM'!$A$1:$T$506</definedName>
    <definedName name="SegmentaçãodeDados_DEPARTAMENTO">#N/A</definedName>
    <definedName name="SegmentaçãodeDados_DEPARTAMENTO1">#N/A</definedName>
    <definedName name="SegmentaçãodeDados_EMPRESA">#N/A</definedName>
    <definedName name="SegmentaçãodeDados_FUNCAO">#N/A</definedName>
    <definedName name="SegmentaçãodeDados_MÊS">#N/A</definedName>
    <definedName name="SegmentaçãodeDados_MÊS1">#N/A</definedName>
  </definedNames>
  <calcPr calcId="191029"/>
  <pivotCaches>
    <pivotCache cacheId="13" r:id="rId4"/>
    <pivotCache cacheId="7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3" name="Tabela3" connection="WorksheetConnection_DADOS.xlsm!Tabela3"/>
          <x15:modelTable id="FOLHA_ADM" name="FOLHA_ADM" connection="WorksheetConnection_DADOS.xlsm!FOLHA_ADM"/>
          <x15:modelTable id="ANALISE_DEP" name="ANALISE_DEP" connection="WorksheetConnection_DADOS.xlsm!ANALISE_DEP"/>
          <x15:modelTable id="ANALISE_36" name="ANALISE_36" connection="WorksheetConnection_DADOS.xlsm!ANALISE_3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91" i="2" l="1"/>
  <c r="AB91" i="2"/>
  <c r="AD91" i="2" s="1"/>
  <c r="AC90" i="2"/>
  <c r="AB90" i="2"/>
  <c r="AD90" i="2" s="1"/>
  <c r="AC89" i="2"/>
  <c r="AB89" i="2"/>
  <c r="AD89" i="2" s="1"/>
  <c r="AC88" i="2"/>
  <c r="AB88" i="2"/>
  <c r="AD88" i="2" s="1"/>
  <c r="AC87" i="2"/>
  <c r="AB87" i="2"/>
  <c r="AD87" i="2" s="1"/>
  <c r="AC86" i="2"/>
  <c r="AB86" i="2"/>
  <c r="AD86" i="2" s="1"/>
  <c r="AC85" i="2"/>
  <c r="AB85" i="2"/>
  <c r="AD85" i="2" s="1"/>
  <c r="AC84" i="2"/>
  <c r="AB84" i="2"/>
  <c r="AD84" i="2" s="1"/>
  <c r="AC83" i="2"/>
  <c r="AB83" i="2"/>
  <c r="AD83" i="2" s="1"/>
  <c r="AC82" i="2"/>
  <c r="AB82" i="2"/>
  <c r="AD82" i="2" s="1"/>
  <c r="AC81" i="2"/>
  <c r="AB81" i="2"/>
  <c r="AD81" i="2" s="1"/>
  <c r="AC80" i="2"/>
  <c r="AB80" i="2"/>
  <c r="AD80" i="2" s="1"/>
  <c r="AC79" i="2"/>
  <c r="AB79" i="2"/>
  <c r="AD79" i="2" s="1"/>
  <c r="AC78" i="2"/>
  <c r="AB78" i="2"/>
  <c r="AD78" i="2" s="1"/>
  <c r="AC77" i="2"/>
  <c r="AB77" i="2"/>
  <c r="AD77" i="2" s="1"/>
  <c r="AC76" i="2"/>
  <c r="AB76" i="2"/>
  <c r="AD76" i="2" s="1"/>
  <c r="AC75" i="2"/>
  <c r="AB75" i="2"/>
  <c r="AD75" i="2" s="1"/>
  <c r="AC74" i="2"/>
  <c r="AB74" i="2"/>
  <c r="AD74" i="2" s="1"/>
  <c r="AC73" i="2"/>
  <c r="AB73" i="2"/>
  <c r="AD73" i="2" s="1"/>
  <c r="AC72" i="2"/>
  <c r="AB72" i="2"/>
  <c r="AD72" i="2" s="1"/>
  <c r="AC71" i="2"/>
  <c r="AB71" i="2"/>
  <c r="AD71" i="2" s="1"/>
  <c r="AC70" i="2"/>
  <c r="AB70" i="2"/>
  <c r="AD70" i="2" s="1"/>
  <c r="AC69" i="2"/>
  <c r="AB69" i="2"/>
  <c r="AD69" i="2" s="1"/>
  <c r="AC68" i="2"/>
  <c r="AB68" i="2"/>
  <c r="AD68" i="2" s="1"/>
  <c r="AC67" i="2"/>
  <c r="AB67" i="2"/>
  <c r="AD67" i="2" s="1"/>
  <c r="AC66" i="2"/>
  <c r="AB66" i="2"/>
  <c r="AD66" i="2" s="1"/>
  <c r="AC65" i="2"/>
  <c r="AB65" i="2"/>
  <c r="AD65" i="2" s="1"/>
  <c r="AC64" i="2"/>
  <c r="AB64" i="2"/>
  <c r="AD64" i="2" s="1"/>
  <c r="AC63" i="2"/>
  <c r="AB63" i="2"/>
  <c r="AD63" i="2" s="1"/>
  <c r="AC62" i="2"/>
  <c r="AB62" i="2"/>
  <c r="AD62" i="2" s="1"/>
  <c r="AB32" i="2"/>
  <c r="AD32" i="2" s="1"/>
  <c r="AB33" i="2"/>
  <c r="AD33" i="2" s="1"/>
  <c r="AB34" i="2"/>
  <c r="AD34" i="2" s="1"/>
  <c r="AB35" i="2"/>
  <c r="AD35" i="2" s="1"/>
  <c r="AB36" i="2"/>
  <c r="AD36" i="2" s="1"/>
  <c r="AB37" i="2"/>
  <c r="AD37" i="2" s="1"/>
  <c r="AB38" i="2"/>
  <c r="AD38" i="2" s="1"/>
  <c r="AB39" i="2"/>
  <c r="AD39" i="2" s="1"/>
  <c r="AB40" i="2"/>
  <c r="AD40" i="2" s="1"/>
  <c r="AB41" i="2"/>
  <c r="AD41" i="2" s="1"/>
  <c r="AB42" i="2"/>
  <c r="AD42" i="2" s="1"/>
  <c r="AB43" i="2"/>
  <c r="AD43" i="2" s="1"/>
  <c r="AB44" i="2"/>
  <c r="AD44" i="2" s="1"/>
  <c r="AB45" i="2"/>
  <c r="AD45" i="2" s="1"/>
  <c r="AB46" i="2"/>
  <c r="AD46" i="2" s="1"/>
  <c r="AB47" i="2"/>
  <c r="AD47" i="2" s="1"/>
  <c r="AB48" i="2"/>
  <c r="AD48" i="2" s="1"/>
  <c r="AB49" i="2"/>
  <c r="AD49" i="2" s="1"/>
  <c r="AB50" i="2"/>
  <c r="AD50" i="2" s="1"/>
  <c r="AB51" i="2"/>
  <c r="AD51" i="2" s="1"/>
  <c r="AB52" i="2"/>
  <c r="AD52" i="2" s="1"/>
  <c r="AB53" i="2"/>
  <c r="AD53" i="2" s="1"/>
  <c r="AB54" i="2"/>
  <c r="AD54" i="2" s="1"/>
  <c r="AB55" i="2"/>
  <c r="AD55" i="2" s="1"/>
  <c r="AB56" i="2"/>
  <c r="AD56" i="2" s="1"/>
  <c r="AB57" i="2"/>
  <c r="AD57" i="2" s="1"/>
  <c r="AB58" i="2"/>
  <c r="AD58" i="2" s="1"/>
  <c r="AB59" i="2"/>
  <c r="AD59" i="2" s="1"/>
  <c r="AB60" i="2"/>
  <c r="AD60" i="2" s="1"/>
  <c r="AB61" i="2"/>
  <c r="AD61" i="2" s="1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31" i="2"/>
  <c r="AB31" i="2"/>
  <c r="AD31" i="2" s="1"/>
  <c r="AC30" i="2"/>
  <c r="AB30" i="2"/>
  <c r="AD30" i="2" s="1"/>
  <c r="AC29" i="2"/>
  <c r="AB29" i="2"/>
  <c r="AD29" i="2" s="1"/>
  <c r="AC28" i="2"/>
  <c r="AB28" i="2"/>
  <c r="AD28" i="2" s="1"/>
  <c r="AC27" i="2"/>
  <c r="AB27" i="2"/>
  <c r="AD27" i="2" s="1"/>
  <c r="AC26" i="2"/>
  <c r="AB26" i="2"/>
  <c r="AD26" i="2" s="1"/>
  <c r="AC25" i="2"/>
  <c r="AB25" i="2"/>
  <c r="AD25" i="2" s="1"/>
  <c r="AC24" i="2"/>
  <c r="AB24" i="2"/>
  <c r="AD24" i="2" s="1"/>
  <c r="AC23" i="2"/>
  <c r="AB23" i="2"/>
  <c r="AD23" i="2" s="1"/>
  <c r="AC22" i="2"/>
  <c r="AB22" i="2"/>
  <c r="AD22" i="2" s="1"/>
  <c r="AC21" i="2"/>
  <c r="AB21" i="2"/>
  <c r="AD21" i="2" s="1"/>
  <c r="AC20" i="2"/>
  <c r="AB20" i="2"/>
  <c r="AD20" i="2" s="1"/>
  <c r="AC19" i="2"/>
  <c r="AB19" i="2"/>
  <c r="AD19" i="2" s="1"/>
  <c r="AC18" i="2"/>
  <c r="AB18" i="2"/>
  <c r="AD18" i="2" s="1"/>
  <c r="AC17" i="2"/>
  <c r="AB17" i="2"/>
  <c r="AD17" i="2" s="1"/>
  <c r="AC16" i="2"/>
  <c r="AB16" i="2"/>
  <c r="AD16" i="2" s="1"/>
  <c r="AC15" i="2"/>
  <c r="AB15" i="2"/>
  <c r="AD15" i="2" s="1"/>
  <c r="AC14" i="2"/>
  <c r="AB14" i="2"/>
  <c r="AD14" i="2" s="1"/>
  <c r="AC13" i="2"/>
  <c r="AB13" i="2"/>
  <c r="AD13" i="2" s="1"/>
  <c r="AC12" i="2"/>
  <c r="AB12" i="2"/>
  <c r="AD12" i="2" s="1"/>
  <c r="AC11" i="2"/>
  <c r="AB11" i="2"/>
  <c r="AD11" i="2" s="1"/>
  <c r="AC10" i="2"/>
  <c r="AB10" i="2"/>
  <c r="AD10" i="2" s="1"/>
  <c r="AC9" i="2"/>
  <c r="AB9" i="2"/>
  <c r="AD9" i="2" s="1"/>
  <c r="AC8" i="2"/>
  <c r="AB8" i="2"/>
  <c r="AD8" i="2" s="1"/>
  <c r="AC7" i="2"/>
  <c r="AB7" i="2"/>
  <c r="AD7" i="2" s="1"/>
  <c r="AC6" i="2"/>
  <c r="AB6" i="2"/>
  <c r="AD6" i="2" s="1"/>
  <c r="AC5" i="2"/>
  <c r="AB5" i="2"/>
  <c r="AD5" i="2" s="1"/>
  <c r="AC4" i="2"/>
  <c r="AB4" i="2"/>
  <c r="AD4" i="2" s="1"/>
  <c r="AC3" i="2"/>
  <c r="AB3" i="2"/>
  <c r="AD3" i="2" s="1"/>
  <c r="AC2" i="2"/>
  <c r="AB2" i="2"/>
  <c r="AD2" i="2" s="1"/>
  <c r="T1" i="1" a="1"/>
  <c r="T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DBA67C-36A4-402A-91FC-318DA44712E4}" keepAlive="1" name="Consulta - FOLHA-ADM" description="Conexão com a consulta 'FOLHA-ADM' na pasta de trabalho." type="5" refreshedVersion="8" background="1" saveData="1">
    <dbPr connection="Provider=Microsoft.Mashup.OleDb.1;Data Source=$Workbook$;Location=FOLHA-ADM;Extended Properties=&quot;&quot;" command="SELECT * FROM [FOLHA-ADM]"/>
  </connection>
  <connection id="2" xr16:uid="{4FD30167-C4A1-4628-8A39-B43E59CC6343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FFEDA00D-7B7C-4CC1-B295-B5A21C27B009}" name="WorksheetConnection_DADOS.xlsm!ANALISE_36" type="102" refreshedVersion="8" minRefreshableVersion="5">
    <extLst>
      <ext xmlns:x15="http://schemas.microsoft.com/office/spreadsheetml/2010/11/main" uri="{DE250136-89BD-433C-8126-D09CA5730AF9}">
        <x15:connection id="ANALISE_36">
          <x15:rangePr sourceName="_xlcn.WorksheetConnection_DADOS.xlsmANALISE_361"/>
        </x15:connection>
      </ext>
    </extLst>
  </connection>
  <connection id="4" xr16:uid="{2B4168A4-63FC-4092-8A5D-8D82851729B3}" name="WorksheetConnection_DADOS.xlsm!ANALISE_DEP" type="102" refreshedVersion="8" minRefreshableVersion="5">
    <extLst>
      <ext xmlns:x15="http://schemas.microsoft.com/office/spreadsheetml/2010/11/main" uri="{DE250136-89BD-433C-8126-D09CA5730AF9}">
        <x15:connection id="ANALISE_DEP" autoDelete="1">
          <x15:rangePr sourceName="_xlcn.WorksheetConnection_DADOS.xlsmANALISE_DEP1"/>
        </x15:connection>
      </ext>
    </extLst>
  </connection>
  <connection id="5" xr16:uid="{8995CDC3-8965-45AC-B6C1-B83A9AE33439}" name="WorksheetConnection_DADOS.xlsm!FOLHA_ADM" type="102" refreshedVersion="8" minRefreshableVersion="5">
    <extLst>
      <ext xmlns:x15="http://schemas.microsoft.com/office/spreadsheetml/2010/11/main" uri="{DE250136-89BD-433C-8126-D09CA5730AF9}">
        <x15:connection id="FOLHA_ADM">
          <x15:rangePr sourceName="_xlcn.WorksheetConnection_DADOS.xlsmFOLHA_ADM1"/>
        </x15:connection>
      </ext>
    </extLst>
  </connection>
  <connection id="6" xr16:uid="{140EC11B-7D6F-44E0-954E-2F8A49F3B05C}" name="WorksheetConnection_DADOS.xlsm!Tabela3" type="102" refreshedVersion="8" minRefreshableVersion="5">
    <extLst>
      <ext xmlns:x15="http://schemas.microsoft.com/office/spreadsheetml/2010/11/main" uri="{DE250136-89BD-433C-8126-D09CA5730AF9}">
        <x15:connection id="Tabela3">
          <x15:rangePr sourceName="_xlcn.WorksheetConnection_DADOS.xlsmTabela3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<sst xmlns="http://schemas.openxmlformats.org/spreadsheetml/2006/main" count="3746" uniqueCount="293">
  <si>
    <t>FOLHA-FILIAL</t>
  </si>
  <si>
    <t>EMPRESA</t>
  </si>
  <si>
    <t xml:space="preserve">MÊS </t>
  </si>
  <si>
    <t xml:space="preserve">ANO </t>
  </si>
  <si>
    <t>CÓDIGO</t>
  </si>
  <si>
    <t>FUNCIONÁRIO</t>
  </si>
  <si>
    <t>DEPARTAMENTO</t>
  </si>
  <si>
    <t>FUNCAO</t>
  </si>
  <si>
    <t>PROVENTOS</t>
  </si>
  <si>
    <t>BASE DO INSS</t>
  </si>
  <si>
    <t xml:space="preserve">ENCARGOS </t>
  </si>
  <si>
    <t>FGTS</t>
  </si>
  <si>
    <t>PICPAY BENEFICIOS</t>
  </si>
  <si>
    <t>PICPAY ASSIDUIDADE</t>
  </si>
  <si>
    <t>PLANO DE SAÚDE</t>
  </si>
  <si>
    <t>VALE TRANSPORTE</t>
  </si>
  <si>
    <t>TOTAL</t>
  </si>
  <si>
    <t>HORAS EXTRAS</t>
  </si>
  <si>
    <t>FATURAMENTO</t>
  </si>
  <si>
    <t>%S/F</t>
  </si>
  <si>
    <t>NIVIA FILIAL</t>
  </si>
  <si>
    <t>FEVEREIRO</t>
  </si>
  <si>
    <t>ALLISSON HENRIQUE PEREIRA</t>
  </si>
  <si>
    <t>ADM</t>
  </si>
  <si>
    <t>ASSISTENTE ADM</t>
  </si>
  <si>
    <t>AMANDA ISABELI REIS JULIAO</t>
  </si>
  <si>
    <t>PADARIA</t>
  </si>
  <si>
    <t>BALCONISTA 2</t>
  </si>
  <si>
    <t>ANA LAURA VENANCIO RUBINIT DAS CHAGAS</t>
  </si>
  <si>
    <t>FRENTE</t>
  </si>
  <si>
    <t>OPERADOR DE CAIXA</t>
  </si>
  <si>
    <t>ARTHUR DE MORAIS SOARES</t>
  </si>
  <si>
    <t>CARLOS KAIK MENDES DA SILVA</t>
  </si>
  <si>
    <t>LOJA</t>
  </si>
  <si>
    <t>OPERADOR DE LOJA 2</t>
  </si>
  <si>
    <t>CARMEN LUCIA VIANA</t>
  </si>
  <si>
    <t>CIRLENE BARBOSA REIS JULIAO</t>
  </si>
  <si>
    <t>ENCARREGADO</t>
  </si>
  <si>
    <t>DANIELLE ROSA DE CAMPOS</t>
  </si>
  <si>
    <t>ACOUGUE</t>
  </si>
  <si>
    <t>DARLENE LOURENCO SALDANHA SANTOS</t>
  </si>
  <si>
    <t>GIOVANI REGINALDO SILVA</t>
  </si>
  <si>
    <t>ESTOQUE</t>
  </si>
  <si>
    <t>CONFERENTE</t>
  </si>
  <si>
    <t>ISAQUE MESSIAS DOS SANTOS</t>
  </si>
  <si>
    <t>JOSIANE PATRICIA DE OLIVEIRA</t>
  </si>
  <si>
    <t>KARINE ARAUJO SACARDO</t>
  </si>
  <si>
    <t>LILIAN THAIS SILVA</t>
  </si>
  <si>
    <t>LUA RIBEIRO DA SILVA</t>
  </si>
  <si>
    <t>LUIZ HENRIQUE MOREIRA FIORAVANTE</t>
  </si>
  <si>
    <t>OPERADOR DE LOJA 1</t>
  </si>
  <si>
    <t>LUIZA GABRIELLY RODRIGUES</t>
  </si>
  <si>
    <t>MARIA JULIA MORENO BERMONTE</t>
  </si>
  <si>
    <t>MARIANE DE ALCANTARA MARQUES</t>
  </si>
  <si>
    <t>MILENE DIAS TARDELLI</t>
  </si>
  <si>
    <t>BALCONISTA 3</t>
  </si>
  <si>
    <t>PAULO EDUARDO COSTA MENDES</t>
  </si>
  <si>
    <t>ACOUGUEIRO 1</t>
  </si>
  <si>
    <t>PRISCILA APARECIDA DIAS</t>
  </si>
  <si>
    <t>RENATA ALVES COSTA</t>
  </si>
  <si>
    <t>BALCONISTA 1</t>
  </si>
  <si>
    <t>VICTORIA COSTAMILAN CRISPIM</t>
  </si>
  <si>
    <t>VINICIUS FRANCA ARAUJO SILVA</t>
  </si>
  <si>
    <t>FELIPE AUGUSTO FEIJÓ AIRES</t>
  </si>
  <si>
    <t>REPOSITOR</t>
  </si>
  <si>
    <t>LUCAS KAUÃ PORTO DE PONTES</t>
  </si>
  <si>
    <t>KEVIN DANIEL MUNIZ BRIZOLA</t>
  </si>
  <si>
    <t>GABRIEL HENRIQUE REIS JULIAO</t>
  </si>
  <si>
    <t>JOÃO VITOR DA SILVA LIRA</t>
  </si>
  <si>
    <t>LUIZ GUILHERME COELHO</t>
  </si>
  <si>
    <t>MARCELO ROCHA MENDES FILHO</t>
  </si>
  <si>
    <t>FOLHA-ARTUR</t>
  </si>
  <si>
    <t>ARTUR</t>
  </si>
  <si>
    <t>ANTONIO CARLOS DE ALMEIDA NETO</t>
  </si>
  <si>
    <t>ANTONIO PEREIRA DE SOUZA</t>
  </si>
  <si>
    <t>ARTHUR FERNANDO DODA</t>
  </si>
  <si>
    <t>SOCIO</t>
  </si>
  <si>
    <t>BIANCA GIOVANNA VESMA SILVA</t>
  </si>
  <si>
    <t>BRUNA TAVARES</t>
  </si>
  <si>
    <t>CARINA APARECIDA DE ALMEIDA</t>
  </si>
  <si>
    <t>DULCINEIA MORATO FRANCA DE OLIVEIRA</t>
  </si>
  <si>
    <t>EDMILSON PEREIRA</t>
  </si>
  <si>
    <t>EMILLY IVONE SCOMPARIM MENDES</t>
  </si>
  <si>
    <t>ERIK DE OLIVEIRA</t>
  </si>
  <si>
    <t>AUXILIAR DE ESTOQUE</t>
  </si>
  <si>
    <t>FERNANDA GOMES DA SILVA</t>
  </si>
  <si>
    <t>FRANCIELE GONCALVES DE OLIVEIRA SANTOS</t>
  </si>
  <si>
    <t>GABRIELLY ALVES DOS SANTOS</t>
  </si>
  <si>
    <t>GUILHERME BRANDAO NOVELI MOREIRA</t>
  </si>
  <si>
    <t>HORTIFRUTI</t>
  </si>
  <si>
    <t>HUDSON ALVES DA SILVA BRITO</t>
  </si>
  <si>
    <t>ISABEL CRISTINA BORDIGNON GERALDO CRUZ</t>
  </si>
  <si>
    <t>JEFERSON NETO LARA</t>
  </si>
  <si>
    <t>JEFFERSON DE ALMEIDA SILVA</t>
  </si>
  <si>
    <t>OPERADOR DE LOJA 3</t>
  </si>
  <si>
    <t>JENNIFER STEFANNY SILVA</t>
  </si>
  <si>
    <t>JHONATAN VELOSO COSTA</t>
  </si>
  <si>
    <t>JOAO VICTOR MARTINEZ MARTINHO</t>
  </si>
  <si>
    <t>KAINA SAIANE DA SILVA MATOS</t>
  </si>
  <si>
    <t>KARINA ARANHA SANTOS</t>
  </si>
  <si>
    <t>KAUE DA SILVA</t>
  </si>
  <si>
    <t>KLAYTONN FERNANDO RODRIGUES FERREIRA</t>
  </si>
  <si>
    <t>LEONARDO TARRAGA CAMPOS</t>
  </si>
  <si>
    <t>LILIANA ANDREIA FURQUIM MORAES</t>
  </si>
  <si>
    <t>LUCAS APARECIDO DA SILVA CAMARGO</t>
  </si>
  <si>
    <t>MARIA EDUARDA PORTO PACHECO DA CRUZ</t>
  </si>
  <si>
    <t>MATEUS FERNANDES COSTA</t>
  </si>
  <si>
    <t>MISAEL MEIRA RODRIGUES</t>
  </si>
  <si>
    <t>RAPHAEL MORAES DE LIMA</t>
  </si>
  <si>
    <t>SIMONE CARNEIRO DA SILVA</t>
  </si>
  <si>
    <t>VITORIA APARECIDA GONCALVES ROSA</t>
  </si>
  <si>
    <t>FISCAL DECAIXA</t>
  </si>
  <si>
    <t>YURI GABRIEL DE SOUZA RIBEIRO</t>
  </si>
  <si>
    <t>LAUREN STEFANY PEREIRA RODRIGUES</t>
  </si>
  <si>
    <t>DUVAL PAULO PEREIRA DE SOUZA CRUZ</t>
  </si>
  <si>
    <t>FABIO CUNHA CATANANTE</t>
  </si>
  <si>
    <t>JOÃO VICTOR SILVA</t>
  </si>
  <si>
    <t>LUAN MORAES LUCCHESI SOUZA</t>
  </si>
  <si>
    <t>FOLHA-NIVIAMATRIZ</t>
  </si>
  <si>
    <t>NIVIA MATRIZ</t>
  </si>
  <si>
    <t>ADEILTON RODRIGUES DE OLIVEIRA BARBOSA</t>
  </si>
  <si>
    <t>ALEX PAULO FERRAZ</t>
  </si>
  <si>
    <t>AMANDA CRISTINA ROSA DE CARVALHO</t>
  </si>
  <si>
    <t>ANDERSON JUNIOR DOS SANTOS LUZ</t>
  </si>
  <si>
    <t>ANDREYNA VITORIA DODA</t>
  </si>
  <si>
    <t>ROTISSERIA</t>
  </si>
  <si>
    <t>AUXILIAR 1</t>
  </si>
  <si>
    <t>ANGELA MARINALVA DA SILVA</t>
  </si>
  <si>
    <t>ANTHONY VINICIUS CLETO NUNES</t>
  </si>
  <si>
    <t>CASSIA CECILIA GONZALEZ</t>
  </si>
  <si>
    <t>CLAUDIANE ANDRIELI VIEIRA DA SILVA</t>
  </si>
  <si>
    <t>EDNEIDE HERMOGENES BONIFACIO DA SILVA</t>
  </si>
  <si>
    <t>ELISAMA SIQUEIRA DA SILVA</t>
  </si>
  <si>
    <t>COZINHEIRA MASTER</t>
  </si>
  <si>
    <t>FELIPE DOS SANTOS SILVA</t>
  </si>
  <si>
    <t>FERNANDA CRISTINA VIEIRA</t>
  </si>
  <si>
    <t>FRANCIELE SIQUEIRA COSTA DOS PASSOS</t>
  </si>
  <si>
    <t>GABRIEL HENRIQUE CORREA</t>
  </si>
  <si>
    <t>GEISSE CRISTINA DOS SANTOS NUNES</t>
  </si>
  <si>
    <t>GIOVANA RIBEIRO DOS SANTOS</t>
  </si>
  <si>
    <t>GISELE SILVA BRANDAO</t>
  </si>
  <si>
    <t>HELLEN BEATRIZ GONCALVES DE CAMPOS</t>
  </si>
  <si>
    <t>IANARA CAROLINE PEREIRA CAMARGO</t>
  </si>
  <si>
    <t>JACKSON DA SILVA</t>
  </si>
  <si>
    <t>JAEL CASSIMIRO DA SILVA FERNANDES</t>
  </si>
  <si>
    <t>JOAO VITOR TRINDADE DA SILVA</t>
  </si>
  <si>
    <t>JOSIANE APARECIDA FERREIRA</t>
  </si>
  <si>
    <t>JULIA REGINA AGUILERA</t>
  </si>
  <si>
    <t>JULYA KAMYLY PIRES</t>
  </si>
  <si>
    <t>KENNEDY FERREIRA DE SOUZA</t>
  </si>
  <si>
    <t>LUIZ CARLOS VIEIRA DOS SANTOS</t>
  </si>
  <si>
    <t>LUIZA RHENATA OLIVEIRA LIMA</t>
  </si>
  <si>
    <t>MARIA ANTONIA DA CRUZ MEIRA</t>
  </si>
  <si>
    <t>MARIA ESTEFANY CAMILA ALBINO LOPES</t>
  </si>
  <si>
    <t>MAYCON VINICIUS DE CAMARGO SILVA</t>
  </si>
  <si>
    <t>MILENE DE FATIMA DA CONCEICAO</t>
  </si>
  <si>
    <t>NIVIA TANAKA DODA</t>
  </si>
  <si>
    <t>PAMELA DE OLIVEIRA ALMEIDA</t>
  </si>
  <si>
    <t>PAULO BARBOSA DOS SANTOS</t>
  </si>
  <si>
    <t>RENAN SILVA DE ALMEIDA</t>
  </si>
  <si>
    <t>RENATA MILENA CUSTODIO</t>
  </si>
  <si>
    <t>SAMARA PEREIRA BARBOSA DA SILVA</t>
  </si>
  <si>
    <t>SAMUEL AUGUSTO FLORENTINO STOCCO</t>
  </si>
  <si>
    <t>SEVERINO ANTONIO SALES</t>
  </si>
  <si>
    <t>SUELEN FRANCINE SILVA</t>
  </si>
  <si>
    <t>TEREZA SONIA ASCENCIO</t>
  </si>
  <si>
    <t>THAIS DOS SANTOS DIVINO</t>
  </si>
  <si>
    <t>VALERIA APARECIDA ANTUNES RAMOS</t>
  </si>
  <si>
    <t>VANESSA APARECIDA BRAGA</t>
  </si>
  <si>
    <t>VANESSA DE OLIVEIRA</t>
  </si>
  <si>
    <t>VIVIANE MARIA DIAS DE LIMA</t>
  </si>
  <si>
    <t>COZINHEIRA</t>
  </si>
  <si>
    <t>ADRIEL DANTAS DA SILVA</t>
  </si>
  <si>
    <t>IAGO HENRIQUE RIBEIRO VIEIRA</t>
  </si>
  <si>
    <t>KAUAN EXPEDITO MORAES PENHA</t>
  </si>
  <si>
    <t>KELVYN HENRIQUE DE OLIVEIRA XAVIER</t>
  </si>
  <si>
    <t>ALESSANDRA GOUVEIA</t>
  </si>
  <si>
    <t>CLAUDIUS GUSTAVO DA CRUZ</t>
  </si>
  <si>
    <t>LUIS RICARDO BATISTA</t>
  </si>
  <si>
    <t>FOLHA-ADM</t>
  </si>
  <si>
    <t>ALESSANDRO CRAVO DE ALELUIA</t>
  </si>
  <si>
    <t>MOTORISTA</t>
  </si>
  <si>
    <t>ALESSANDRO YUICHI HONMA</t>
  </si>
  <si>
    <t>ALEXANDRE DA PALMA BRANCO</t>
  </si>
  <si>
    <t>ALEXANDRE KENJI DODA</t>
  </si>
  <si>
    <t>BIANCA AGAPY MOREIRA LOPES</t>
  </si>
  <si>
    <t>COMPRADOR</t>
  </si>
  <si>
    <t>CARLO LUCIO DODA</t>
  </si>
  <si>
    <t>CONFEITEIRO</t>
  </si>
  <si>
    <t>CASSIA CRISTINE SOUZA PORTO DE PONTES</t>
  </si>
  <si>
    <t>EDIO BORGES JUNIOR</t>
  </si>
  <si>
    <t>EDSON JUNIOR QUEIROZ LIMA</t>
  </si>
  <si>
    <t>ELAINE CRISTINA FRAGOSO CAMARGO</t>
  </si>
  <si>
    <t>ESTEFANNY RAFAELA FERREIRA</t>
  </si>
  <si>
    <t>GUILHERME HENRIQUE FERNANDES</t>
  </si>
  <si>
    <t>GERENTE FINANCEIRO</t>
  </si>
  <si>
    <t>GUILHERME SILVA ALBERTO</t>
  </si>
  <si>
    <t>GERENTE DE PREVENCAO</t>
  </si>
  <si>
    <t>GUSTAVO AUGUSTO CASTILHO DE SOUSA GOIS</t>
  </si>
  <si>
    <t>INACIO BISPO DE LIMA MORAIS</t>
  </si>
  <si>
    <t>IVAN APARECIDO RODRIGUES</t>
  </si>
  <si>
    <t>GERENTE</t>
  </si>
  <si>
    <t>JONAS ALVES DE PAULA</t>
  </si>
  <si>
    <t>KASILEY PRISCILA MORENO BERMONTE FARIA</t>
  </si>
  <si>
    <t>LEANDRO VENANCIO DE SIQUEIRA</t>
  </si>
  <si>
    <t>LUIS ROBERTO DE OLIVEIRA</t>
  </si>
  <si>
    <t>LUIZ HENRIQUE DOMINGUES</t>
  </si>
  <si>
    <t>MARGARENE BARROS BORGES</t>
  </si>
  <si>
    <t>MARIA HELENA ARDUINO DOS SANTOS</t>
  </si>
  <si>
    <t>ANALISTA DE RH</t>
  </si>
  <si>
    <t>MIRIAN APARECIDA MARQUES SANTOS</t>
  </si>
  <si>
    <t>SERGIO DOS SANTOS MARQUES</t>
  </si>
  <si>
    <t>GERENTE DE LOJA</t>
  </si>
  <si>
    <t>SILVANA DOMINGUES RODRIGUES</t>
  </si>
  <si>
    <t>TATIANE DE SOUZA</t>
  </si>
  <si>
    <t>VANDRE VINICIUS DODA</t>
  </si>
  <si>
    <t>VANIA LUCIA ROSA DODA</t>
  </si>
  <si>
    <t>SERVICOS</t>
  </si>
  <si>
    <t>AUXILIAR DE SERVICOS GERAIS</t>
  </si>
  <si>
    <t>SUELI APARECIDA DE SOUZA NASCIMENTO</t>
  </si>
  <si>
    <t>IGLEISSON BARBOSA DA SILVA</t>
  </si>
  <si>
    <t>AUXILIAR DE PREVENCAO</t>
  </si>
  <si>
    <t>FORA01</t>
  </si>
  <si>
    <t>PATRICIA BARBOSA RODRIGUES</t>
  </si>
  <si>
    <t>ASSISTENTE FINANCEIRO</t>
  </si>
  <si>
    <t>FORA02</t>
  </si>
  <si>
    <t>ALEXANDRE PEREIRA DUARTE</t>
  </si>
  <si>
    <t>FORA03</t>
  </si>
  <si>
    <t>CRISTIANO AKIRA TANAKA</t>
  </si>
  <si>
    <t>AUXILIAR DE MANUTENCAO</t>
  </si>
  <si>
    <t>MADSON MATHIAS CARRARA</t>
  </si>
  <si>
    <t>DAN RAFAEL PINTO DE OLIVEIRA</t>
  </si>
  <si>
    <t>ESTOQUISTA</t>
  </si>
  <si>
    <t>MATHEUS MIRANDA LOPES</t>
  </si>
  <si>
    <t>Rótulos de Linha</t>
  </si>
  <si>
    <t>Total Geral</t>
  </si>
  <si>
    <t>Soma de %S/F</t>
  </si>
  <si>
    <t xml:space="preserve">PROVENTOS </t>
  </si>
  <si>
    <t>DESPESA TOTAL</t>
  </si>
  <si>
    <t>SALÁRIOS</t>
  </si>
  <si>
    <t xml:space="preserve">FGTS </t>
  </si>
  <si>
    <t xml:space="preserve">PICPAY BENEFICIOS </t>
  </si>
  <si>
    <t xml:space="preserve">PICPAY ASSIDUIDADE </t>
  </si>
  <si>
    <t xml:space="preserve">PLANO DE SAÚDE </t>
  </si>
  <si>
    <t xml:space="preserve">VALE TRANSPORTE </t>
  </si>
  <si>
    <t>ENCARGOS</t>
  </si>
  <si>
    <t>Soma de HORAS EXTRAS</t>
  </si>
  <si>
    <t xml:space="preserve">HORAS EXTRAS </t>
  </si>
  <si>
    <t>Soma de TOTAL</t>
  </si>
  <si>
    <t>MÊS</t>
  </si>
  <si>
    <t>ANO</t>
  </si>
  <si>
    <t>FUNCIONÁRIOS</t>
  </si>
  <si>
    <t>VENDA POR FUNCIONÁRIO</t>
  </si>
  <si>
    <t>QUANTIDADE</t>
  </si>
  <si>
    <t>VENDA DO SETOR</t>
  </si>
  <si>
    <t xml:space="preserve">VENDA POR FUNCIONÁRIO </t>
  </si>
  <si>
    <t>%</t>
  </si>
  <si>
    <t>MARÇO</t>
  </si>
  <si>
    <t>BRUNA FERNANDA DE OLIVEIRA LUCENA</t>
  </si>
  <si>
    <t>KAILLANY ROCHA QUEIROZ</t>
  </si>
  <si>
    <t>MURILO AUGUSTO SADUIKYS</t>
  </si>
  <si>
    <t>BEATRIZ LORRANE RIBEIRO</t>
  </si>
  <si>
    <t>BRUNA JACOB DE OLIVEIRA LIMA</t>
  </si>
  <si>
    <t>GUSTAVO DOS SANTOS SILVA</t>
  </si>
  <si>
    <t>HERNANDES CESAR DA SILVA FARIA</t>
  </si>
  <si>
    <t>MONIQUE CAROLINA GONCALVES MARQUES</t>
  </si>
  <si>
    <t>DAIANE DA SILVA RIBEIRO</t>
  </si>
  <si>
    <t>DAIANE OLIVEIRA DA COSTA</t>
  </si>
  <si>
    <t>EZEQUIEL ALLAN VIEIRA ALVES</t>
  </si>
  <si>
    <t>LETICIA TAWANE DE AZEVEDO OLIVEIRA</t>
  </si>
  <si>
    <t>ULISSES AMANTINO DE CAMARGO</t>
  </si>
  <si>
    <t>FRANCINE MARQUES OLIVEIRA</t>
  </si>
  <si>
    <t>FRANCISCA ORLEENE MELO DOS SANTOS</t>
  </si>
  <si>
    <t>ABRIL</t>
  </si>
  <si>
    <t>ANA LAURA GARCIA LOPES</t>
  </si>
  <si>
    <t>BEATRIZ FERNANDA ALVES DE LIMA</t>
  </si>
  <si>
    <t>NATALIE CRISTINE RODRIGUES DE SOUZA</t>
  </si>
  <si>
    <t>PATRIK ARRUDA SIQUEIRA</t>
  </si>
  <si>
    <t>SARAH BEATRIZ DE CAMPOS CAVALCANTI</t>
  </si>
  <si>
    <t>ALANA BORTOLLI</t>
  </si>
  <si>
    <t>LUCAS HENRIQUE DE ALMEIDA</t>
  </si>
  <si>
    <t>LUCILENE GRAZIELE DA SILVA MESSIAS</t>
  </si>
  <si>
    <t>MARIA EDUARDA NUNES DE SOUZA</t>
  </si>
  <si>
    <t>ACHILEY GABRIELA VERONESE</t>
  </si>
  <si>
    <t>JOCELIA ARNAUD FARIAS</t>
  </si>
  <si>
    <t>MILENA LEITE DOS SANTOS</t>
  </si>
  <si>
    <t>PAULO MARTINS</t>
  </si>
  <si>
    <t>TATIANE EMILIA DOS SANTOS</t>
  </si>
  <si>
    <t>YUDI RAMOS SOARES</t>
  </si>
  <si>
    <t>DANIEL ALAN GOMES SANTOS</t>
  </si>
  <si>
    <t>SUB-GERENTE</t>
  </si>
  <si>
    <t>LEANDRO ANTONIO DA SILVA MEDEIROS</t>
  </si>
  <si>
    <t>RENATA PEREIRA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</si>
</sst>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.#,&quot;K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39997558519241921"/>
      <name val="Utsaah"/>
    </font>
    <font>
      <b/>
      <sz val="14"/>
      <color rgb="FF002060"/>
      <name val="Utsaah"/>
    </font>
    <font>
      <b/>
      <sz val="11"/>
      <color theme="0"/>
      <name val="Calibri"/>
      <family val="2"/>
      <scheme val="minor"/>
    </font>
    <font>
      <sz val="11"/>
      <color theme="1"/>
      <name val="Utsaah"/>
    </font>
    <font>
      <b/>
      <sz val="14"/>
      <color theme="8" tint="-0.249977111117893"/>
      <name val="Utsaah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theme="8" tint="0.59999389629810485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10" fontId="0" fillId="0" borderId="0" xfId="2" applyNumberFormat="1" applyFont="1"/>
    <xf numFmtId="44" fontId="0" fillId="0" borderId="0" xfId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2" fillId="2" borderId="1" xfId="0" applyFont="1" applyFill="1" applyBorder="1" applyAlignment="1">
      <alignment horizontal="left"/>
    </xf>
    <xf numFmtId="44" fontId="3" fillId="3" borderId="1" xfId="0" applyNumberFormat="1" applyFont="1" applyFill="1" applyBorder="1" applyAlignment="1">
      <alignment horizontal="right"/>
    </xf>
    <xf numFmtId="0" fontId="2" fillId="2" borderId="2" xfId="0" applyFont="1" applyFill="1" applyBorder="1" applyAlignment="1">
      <alignment horizontal="left"/>
    </xf>
    <xf numFmtId="44" fontId="3" fillId="3" borderId="2" xfId="0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left"/>
    </xf>
    <xf numFmtId="44" fontId="3" fillId="3" borderId="3" xfId="0" applyNumberFormat="1" applyFont="1" applyFill="1" applyBorder="1" applyAlignment="1">
      <alignment horizontal="right"/>
    </xf>
    <xf numFmtId="164" fontId="0" fillId="0" borderId="0" xfId="0" applyNumberFormat="1"/>
    <xf numFmtId="0" fontId="4" fillId="5" borderId="4" xfId="0" applyFont="1" applyFill="1" applyBorder="1"/>
    <xf numFmtId="0" fontId="0" fillId="0" borderId="4" xfId="0" applyBorder="1"/>
    <xf numFmtId="0" fontId="0" fillId="0" borderId="5" xfId="0" applyBorder="1"/>
    <xf numFmtId="44" fontId="0" fillId="0" borderId="5" xfId="1" applyFont="1" applyBorder="1"/>
    <xf numFmtId="44" fontId="0" fillId="0" borderId="5" xfId="0" applyNumberFormat="1" applyBorder="1"/>
    <xf numFmtId="0" fontId="0" fillId="0" borderId="6" xfId="0" applyBorder="1"/>
    <xf numFmtId="44" fontId="0" fillId="0" borderId="0" xfId="1" applyFont="1" applyBorder="1"/>
    <xf numFmtId="0" fontId="5" fillId="0" borderId="0" xfId="0" pivotButton="1" applyFont="1"/>
    <xf numFmtId="0" fontId="5" fillId="0" borderId="0" xfId="0" applyFont="1"/>
    <xf numFmtId="0" fontId="5" fillId="0" borderId="0" xfId="0" applyFont="1" applyAlignment="1">
      <alignment horizontal="left"/>
    </xf>
    <xf numFmtId="10" fontId="5" fillId="0" borderId="0" xfId="0" applyNumberFormat="1" applyFont="1"/>
    <xf numFmtId="0" fontId="5" fillId="0" borderId="0" xfId="0" applyFont="1" applyAlignment="1">
      <alignment horizontal="left" indent="1"/>
    </xf>
    <xf numFmtId="165" fontId="5" fillId="0" borderId="0" xfId="0" applyNumberFormat="1" applyFont="1"/>
    <xf numFmtId="0" fontId="2" fillId="2" borderId="0" xfId="0" applyFont="1" applyFill="1" applyAlignment="1">
      <alignment horizontal="center"/>
    </xf>
    <xf numFmtId="44" fontId="3" fillId="3" borderId="0" xfId="0" applyNumberFormat="1" applyFont="1" applyFill="1" applyAlignment="1">
      <alignment horizontal="right"/>
    </xf>
    <xf numFmtId="44" fontId="6" fillId="4" borderId="0" xfId="0" applyNumberFormat="1" applyFont="1" applyFill="1" applyAlignment="1">
      <alignment horizontal="right"/>
    </xf>
    <xf numFmtId="0" fontId="0" fillId="0" borderId="0" xfId="0" applyNumberFormat="1"/>
    <xf numFmtId="0" fontId="0" fillId="0" borderId="4" xfId="0" applyFont="1" applyFill="1" applyBorder="1"/>
    <xf numFmtId="0" fontId="0" fillId="0" borderId="0" xfId="0" applyBorder="1"/>
    <xf numFmtId="0" fontId="0" fillId="0" borderId="6" xfId="0" applyFont="1" applyFill="1" applyBorder="1"/>
    <xf numFmtId="44" fontId="0" fillId="0" borderId="0" xfId="0" applyNumberFormat="1" applyBorder="1"/>
  </cellXfs>
  <cellStyles count="3">
    <cellStyle name="Moeda" xfId="1" builtinId="4"/>
    <cellStyle name="Normal" xfId="0" builtinId="0"/>
    <cellStyle name="Porcentagem" xfId="2" builtinId="5"/>
  </cellStyles>
  <dxfs count="87"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4"/>
      </font>
    </dxf>
    <dxf>
      <font>
        <sz val="12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color theme="4" tint="0.39997558519241921"/>
      </font>
    </dxf>
    <dxf>
      <alignment horizontal="right"/>
    </dxf>
    <dxf>
      <font>
        <color rgb="FF002060"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-0.249977111117893"/>
        </patternFill>
      </fill>
    </dxf>
    <dxf>
      <font>
        <b/>
        <sz val="14"/>
        <color rgb="FF002060"/>
        <name val="Utsaah"/>
        <scheme val="none"/>
      </font>
      <fill>
        <patternFill patternType="solid">
          <fgColor indexed="64"/>
          <bgColor theme="8" tint="0.59999389629810485"/>
        </patternFill>
      </fill>
      <alignment horizontal="right"/>
    </dxf>
    <dxf>
      <font>
        <b/>
        <sz val="12"/>
        <color theme="4" tint="0.39997558519241921"/>
        <name val="Utsaah"/>
        <scheme val="none"/>
      </font>
      <fill>
        <patternFill patternType="solid">
          <fgColor indexed="64"/>
          <bgColor theme="8" tint="-0.249977111117893"/>
        </patternFill>
      </fill>
      <alignment horizontal="center"/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color theme="8" tint="-0.249977111117893"/>
      </font>
    </dxf>
    <dxf>
      <fill>
        <patternFill>
          <bgColor theme="8" tint="0.79998168889431442"/>
        </patternFill>
      </fill>
    </dxf>
    <dxf>
      <font>
        <sz val="14"/>
        <color rgb="FF002060"/>
      </font>
      <fill>
        <patternFill>
          <fgColor theme="8" tint="0.59999389629810485"/>
        </patternFill>
      </fill>
    </dxf>
    <dxf>
      <font>
        <sz val="12"/>
        <color theme="4" tint="0.39997558519241921"/>
      </font>
      <fill>
        <patternFill patternType="solid">
          <fgColor indexed="64"/>
          <bgColor theme="8" tint="-0.249977111117893"/>
        </patternFill>
      </fill>
    </dxf>
    <dxf>
      <font>
        <sz val="12"/>
        <color theme="4" tint="0.39997558519241921"/>
      </font>
      <fill>
        <patternFill patternType="solid">
          <fgColor indexed="64"/>
          <bgColor theme="8" tint="-0.249977111117893"/>
        </patternFill>
      </fill>
    </dxf>
    <dxf>
      <font>
        <sz val="12"/>
        <color theme="4" tint="0.39997558519241921"/>
      </font>
      <fill>
        <patternFill patternType="solid">
          <fgColor indexed="64"/>
          <bgColor theme="8" tint="-0.249977111117893"/>
        </patternFill>
      </fill>
    </dxf>
    <dxf>
      <alignment horizontal="center"/>
    </dxf>
    <dxf>
      <font>
        <name val="Utsaah"/>
        <scheme val="none"/>
      </font>
    </dxf>
    <dxf>
      <font>
        <name val="Utsaah"/>
        <scheme val="none"/>
      </font>
    </dxf>
    <dxf>
      <alignment horizontal="right"/>
    </dxf>
    <dxf>
      <font>
        <color rgb="FF002060"/>
      </font>
    </dxf>
    <dxf>
      <font>
        <b/>
      </font>
    </dxf>
    <dxf>
      <font>
        <b/>
      </font>
    </dxf>
    <dxf>
      <font>
        <color theme="0"/>
      </font>
    </dxf>
    <dxf>
      <fill>
        <patternFill patternType="solid">
          <bgColor theme="8" tint="0.59999389629810485"/>
        </patternFill>
      </fill>
    </dxf>
    <dxf>
      <numFmt numFmtId="164" formatCode="0.0%"/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numFmt numFmtId="165" formatCode="#.#,&quot;K&quot;"/>
    </dxf>
    <dxf>
      <numFmt numFmtId="165" formatCode="#.#,&quot;K&quot;"/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font>
        <name val="Utsaah"/>
        <scheme val="none"/>
      </font>
    </dxf>
    <dxf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ill>
        <patternFill patternType="solid">
          <fgColor auto="1"/>
          <bgColor rgb="FF003399"/>
        </patternFill>
      </fill>
    </dxf>
    <dxf>
      <font>
        <b/>
        <i val="0"/>
        <color theme="0"/>
        <name val="Utsaah"/>
        <family val="2"/>
        <scheme val="none"/>
      </font>
      <fill>
        <gradientFill degree="90">
          <stop position="0">
            <color theme="0"/>
          </stop>
          <stop position="0.5">
            <color theme="8"/>
          </stop>
          <stop position="1">
            <color theme="0"/>
          </stop>
        </gradientFill>
      </fill>
    </dxf>
    <dxf>
      <font>
        <b/>
        <i val="0"/>
        <color theme="0"/>
        <name val="Utsaah"/>
        <family val="2"/>
        <scheme val="none"/>
      </font>
      <fill>
        <gradientFill degree="90">
          <stop position="0">
            <color theme="0"/>
          </stop>
          <stop position="0.5">
            <color theme="8"/>
          </stop>
          <stop position="1">
            <color theme="0"/>
          </stop>
        </gradientFill>
      </fill>
    </dxf>
  </dxfs>
  <tableStyles count="2" defaultTableStyle="TableStyleMedium2" defaultPivotStyle="PivotStyleLight16">
    <tableStyle name="Estilo de Segmentação de Dados 1" pivot="0" table="0" count="1" xr9:uid="{F19891C5-8569-4616-B2BE-58482A6FDACA}">
      <tableStyleElement type="wholeTable" dxfId="86"/>
    </tableStyle>
    <tableStyle name="funcao" pivot="0" table="0" count="2" xr9:uid="{0A6035CD-0D3B-4578-9B07-9DC0C83E8E0D}">
      <tableStyleElement type="wholeTable" dxfId="85"/>
      <tableStyleElement type="headerRow" dxfId="84"/>
    </tableStyle>
  </tableStyles>
  <colors>
    <mruColors>
      <color rgb="FFFFFFFF"/>
      <color rgb="FF000000"/>
      <color rgb="FFDAE3F3"/>
      <color rgb="FF003399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funcao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2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19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[DADOS.xlsm]Plan1!Tabela dinâmica1</c:name>
    <c:fmtId val="9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.#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shade val="76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599421547360812"/>
                  <c:h val="0.34663955939933738"/>
                </c:manualLayout>
              </c15:layout>
            </c:ext>
          </c:extLst>
        </c:dLbl>
      </c:pivotFmt>
      <c:pivotFmt>
        <c:idx val="7"/>
        <c:spPr>
          <a:solidFill>
            <a:schemeClr val="accent5">
              <a:tint val="77000"/>
            </a:schemeClr>
          </a:solidFill>
          <a:ln>
            <a:noFill/>
          </a:ln>
          <a:effectLst/>
        </c:spPr>
        <c:dLbl>
          <c:idx val="0"/>
          <c:numFmt formatCode="#.#,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012121315638146"/>
                  <c:h val="0.34663955939933738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Plan1!$B$1</c:f>
              <c:strCache>
                <c:ptCount val="1"/>
                <c:pt idx="0">
                  <c:v>PROVENTOS 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06B-4D12-AB56-D1E5045CFAE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B28-408B-B838-F28201C7022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824-4AA1-A618-BA718D8806B2}"/>
              </c:ext>
            </c:extLst>
          </c:dPt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599421547360812"/>
                      <c:h val="0.346639559399337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824-4AA1-A618-BA718D8806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Plan1!$A$2:$A$5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Plan1!$B$2:$B$5</c:f>
              <c:numCache>
                <c:formatCode>#.#,"K"</c:formatCode>
                <c:ptCount val="3"/>
                <c:pt idx="0">
                  <c:v>141822.24000000002</c:v>
                </c:pt>
                <c:pt idx="1">
                  <c:v>112235.24999999999</c:v>
                </c:pt>
                <c:pt idx="2">
                  <c:v>207126.58999999997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30-48D8-AB96-26F7881AD9D4}"/>
            </c:ext>
          </c:extLst>
        </c:ser>
        <c:ser>
          <c:idx val="1"/>
          <c:order val="1"/>
          <c:tx>
            <c:strRef>
              <c:f>Plan1!$C$1</c:f>
              <c:strCache>
                <c:ptCount val="1"/>
                <c:pt idx="0">
                  <c:v>DESPESA TOTAL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06B-4D12-AB56-D1E5045CFAE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B28-408B-B838-F28201C7022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24-4AA1-A618-BA718D8806B2}"/>
              </c:ext>
            </c:extLst>
          </c:dPt>
          <c:dLbls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012121315638146"/>
                      <c:h val="0.346639559399337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824-4AA1-A618-BA718D8806B2}"/>
                </c:ext>
              </c:extLst>
            </c:dLbl>
            <c:numFmt formatCode="#.#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Plan1!$A$2:$A$5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Plan1!$C$2:$C$5</c:f>
              <c:numCache>
                <c:formatCode>#.#,"K"</c:formatCode>
                <c:ptCount val="3"/>
                <c:pt idx="0">
                  <c:v>205452.32860000001</c:v>
                </c:pt>
                <c:pt idx="1">
                  <c:v>153580.14350000003</c:v>
                </c:pt>
                <c:pt idx="2">
                  <c:v>294405.15820000001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30-48D8-AB96-26F7881AD9D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00468623"/>
        <c:axId val="100470063"/>
      </c:barChart>
      <c:catAx>
        <c:axId val="1004686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70063"/>
        <c:crosses val="autoZero"/>
        <c:auto val="1"/>
        <c:lblAlgn val="ctr"/>
        <c:lblOffset val="100"/>
        <c:noMultiLvlLbl val="0"/>
      </c:catAx>
      <c:valAx>
        <c:axId val="100470063"/>
        <c:scaling>
          <c:orientation val="minMax"/>
        </c:scaling>
        <c:delete val="1"/>
        <c:axPos val="b"/>
        <c:numFmt formatCode="#.#,&quot;K&quot;" sourceLinked="1"/>
        <c:majorTickMark val="none"/>
        <c:minorTickMark val="none"/>
        <c:tickLblPos val="nextTo"/>
        <c:crossAx val="10046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1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50196"/>
      </a:srgbClr>
    </a:solidFill>
    <a:ln w="9525" cap="flat" cmpd="sng" algn="ctr">
      <a:solidFill>
        <a:srgbClr val="00206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[DADOS.xlsm]Plan1!Tabela dinâmica2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2060"/>
                </a:solidFill>
              </a:rPr>
              <a:t>Percentual Geral</a:t>
            </a:r>
            <a:r>
              <a:rPr lang="en-US" baseline="0">
                <a:solidFill>
                  <a:srgbClr val="002060"/>
                </a:solidFill>
              </a:rPr>
              <a:t> sobre o Faturamento</a:t>
            </a:r>
            <a:endParaRPr lang="en-US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5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shade val="65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accent5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5">
              <a:tint val="65000"/>
            </a:schemeClr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Plan1!$F$1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59-484C-9524-7E93CDED8D4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59-484C-9524-7E93CDED8D48}"/>
              </c:ext>
            </c:extLst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59-484C-9524-7E93CDED8D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Plan1!$E$2:$E$5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Plan1!$F$2:$F$5</c:f>
              <c:numCache>
                <c:formatCode>0.00%</c:formatCode>
                <c:ptCount val="3"/>
                <c:pt idx="0">
                  <c:v>0.11336591607196725</c:v>
                </c:pt>
                <c:pt idx="1">
                  <c:v>0.10105543311710838</c:v>
                </c:pt>
                <c:pt idx="2">
                  <c:v>0.11503069039675408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59-484C-9524-7E93CDED8D4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[DADOS.xlsm]Plan1!Tabela dinâmica3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rPr>
              <a:t>Funcionários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Plan1!$H$2:$H$179</c:f>
              <c:multiLvlStrCache>
                <c:ptCount val="174"/>
                <c:lvl>
                  <c:pt idx="0">
                    <c:v>SAMARA PEREIRA BARBOSA DA SILVA</c:v>
                  </c:pt>
                  <c:pt idx="1">
                    <c:v>SERGIO DOS SANTOS MARQUES</c:v>
                  </c:pt>
                  <c:pt idx="2">
                    <c:v>NIVIA TANAKA DODA</c:v>
                  </c:pt>
                  <c:pt idx="3">
                    <c:v>JULYA KAMYLY PIRES</c:v>
                  </c:pt>
                  <c:pt idx="4">
                    <c:v>MADSON MATHIAS CARRARA</c:v>
                  </c:pt>
                  <c:pt idx="5">
                    <c:v>ALEXANDRE DA PALMA BRANCO</c:v>
                  </c:pt>
                  <c:pt idx="6">
                    <c:v>GUILHERME SILVA ALBERTO</c:v>
                  </c:pt>
                  <c:pt idx="7">
                    <c:v>KENNEDY FERREIRA DE SOUZA</c:v>
                  </c:pt>
                  <c:pt idx="8">
                    <c:v>MARIA ESTEFANY CAMILA ALBINO LOPES</c:v>
                  </c:pt>
                  <c:pt idx="9">
                    <c:v>SUELEN FRANCINE SILVA</c:v>
                  </c:pt>
                  <c:pt idx="10">
                    <c:v>INACIO BISPO DE LIMA MORAIS</c:v>
                  </c:pt>
                  <c:pt idx="11">
                    <c:v>EDSON JUNIOR QUEIROZ LIMA</c:v>
                  </c:pt>
                  <c:pt idx="12">
                    <c:v>JACKSON DA SILVA</c:v>
                  </c:pt>
                  <c:pt idx="13">
                    <c:v>AMANDA CRISTINA ROSA DE CARVALHO</c:v>
                  </c:pt>
                  <c:pt idx="14">
                    <c:v>CARLO LUCIO DODA</c:v>
                  </c:pt>
                  <c:pt idx="15">
                    <c:v>ELISAMA SIQUEIRA DA SILVA</c:v>
                  </c:pt>
                  <c:pt idx="16">
                    <c:v>LEANDRO ANTONIO DA SILVA MEDEIROS</c:v>
                  </c:pt>
                  <c:pt idx="17">
                    <c:v>ANDERSON JUNIOR DOS SANTOS LUZ</c:v>
                  </c:pt>
                  <c:pt idx="18">
                    <c:v>MILENE DE FATIMA DA CONCEICAO</c:v>
                  </c:pt>
                  <c:pt idx="19">
                    <c:v>BIANCA AGAPY MOREIRA LOPES</c:v>
                  </c:pt>
                  <c:pt idx="20">
                    <c:v>FRANCINE MARQUES OLIVEIRA</c:v>
                  </c:pt>
                  <c:pt idx="21">
                    <c:v>SEVERINO ANTONIO SALES</c:v>
                  </c:pt>
                  <c:pt idx="22">
                    <c:v>PAMELA DE OLIVEIRA ALMEIDA</c:v>
                  </c:pt>
                  <c:pt idx="23">
                    <c:v>DAIANE DA SILVA RIBEIRO</c:v>
                  </c:pt>
                  <c:pt idx="24">
                    <c:v>VANDRE VINICIUS DODA</c:v>
                  </c:pt>
                  <c:pt idx="25">
                    <c:v>FERNANDA CRISTINA VIEIRA</c:v>
                  </c:pt>
                  <c:pt idx="26">
                    <c:v>JAEL CASSIMIRO DA SILVA FERNANDES</c:v>
                  </c:pt>
                  <c:pt idx="27">
                    <c:v>KELVYN HENRIQUE DE OLIVEIRA XAVIER</c:v>
                  </c:pt>
                  <c:pt idx="28">
                    <c:v>LETICIA TAWANE DE AZEVEDO OLIVEIRA</c:v>
                  </c:pt>
                  <c:pt idx="29">
                    <c:v>VANESSA APARECIDA BRAGA</c:v>
                  </c:pt>
                  <c:pt idx="30">
                    <c:v>GISELE SILVA BRANDAO</c:v>
                  </c:pt>
                  <c:pt idx="31">
                    <c:v>VANESSA DE OLIVEIRA</c:v>
                  </c:pt>
                  <c:pt idx="32">
                    <c:v>TEREZA SONIA ASCENCIO</c:v>
                  </c:pt>
                  <c:pt idx="33">
                    <c:v>LEANDRO VENANCIO DE SIQUEIRA</c:v>
                  </c:pt>
                  <c:pt idx="34">
                    <c:v>ANTHONY VINICIUS CLETO NUNES</c:v>
                  </c:pt>
                  <c:pt idx="35">
                    <c:v>EZEQUIEL ALLAN VIEIRA ALVES</c:v>
                  </c:pt>
                  <c:pt idx="36">
                    <c:v>LUIZA RHENATA OLIVEIRA LIMA</c:v>
                  </c:pt>
                  <c:pt idx="37">
                    <c:v>ALESSANDRO YUICHI HONMA</c:v>
                  </c:pt>
                  <c:pt idx="38">
                    <c:v>LUIZ HENRIQUE DOMINGUES</c:v>
                  </c:pt>
                  <c:pt idx="39">
                    <c:v>MAYCON VINICIUS DE CAMARGO SILVA</c:v>
                  </c:pt>
                  <c:pt idx="40">
                    <c:v>VALERIA APARECIDA ANTUNES RAMOS</c:v>
                  </c:pt>
                  <c:pt idx="41">
                    <c:v>CLAUDIUS GUSTAVO DA CRUZ</c:v>
                  </c:pt>
                  <c:pt idx="42">
                    <c:v>HELLEN BEATRIZ GONCALVES DE CAMPOS</c:v>
                  </c:pt>
                  <c:pt idx="43">
                    <c:v>THAIS DOS SANTOS DIVINO</c:v>
                  </c:pt>
                  <c:pt idx="44">
                    <c:v>MARIA ANTONIA DA CRUZ MEIRA</c:v>
                  </c:pt>
                  <c:pt idx="45">
                    <c:v>DAIANE OLIVEIRA DA COSTA</c:v>
                  </c:pt>
                  <c:pt idx="46">
                    <c:v>JULIA REGINA AGUILERA</c:v>
                  </c:pt>
                  <c:pt idx="47">
                    <c:v>FRANCIELE SIQUEIRA COSTA DOS PASSOS</c:v>
                  </c:pt>
                  <c:pt idx="48">
                    <c:v>ALEX PAULO FERRAZ</c:v>
                  </c:pt>
                  <c:pt idx="49">
                    <c:v>RENAN SILVA DE ALMEIDA</c:v>
                  </c:pt>
                  <c:pt idx="50">
                    <c:v>GEISSE CRISTINA DOS SANTOS NUNES</c:v>
                  </c:pt>
                  <c:pt idx="51">
                    <c:v>ESTEFANNY RAFAELA FERREIRA</c:v>
                  </c:pt>
                  <c:pt idx="52">
                    <c:v>SAMUEL AUGUSTO FLORENTINO STOCCO</c:v>
                  </c:pt>
                  <c:pt idx="53">
                    <c:v>ULISSES AMANTINO DE CAMARGO</c:v>
                  </c:pt>
                  <c:pt idx="54">
                    <c:v>CLAUDIANE ANDRIELI VIEIRA DA SILVA</c:v>
                  </c:pt>
                  <c:pt idx="55">
                    <c:v>IANARA CAROLINE PEREIRA CAMARGO</c:v>
                  </c:pt>
                  <c:pt idx="56">
                    <c:v>ANGELA MARINALVA DA SILVA</c:v>
                  </c:pt>
                  <c:pt idx="57">
                    <c:v>EDNEIDE HERMOGENES BONIFACIO DA SILVA</c:v>
                  </c:pt>
                  <c:pt idx="58">
                    <c:v>JOSIANE APARECIDA FERREIRA</c:v>
                  </c:pt>
                  <c:pt idx="59">
                    <c:v>PAULO BARBOSA DOS SANTOS</c:v>
                  </c:pt>
                  <c:pt idx="60">
                    <c:v>SILVANA DOMINGUES RODRIGUES</c:v>
                  </c:pt>
                  <c:pt idx="61">
                    <c:v>CASSIA CECILIA GONZALEZ</c:v>
                  </c:pt>
                  <c:pt idx="62">
                    <c:v>VIVIANE MARIA DIAS DE LIMA</c:v>
                  </c:pt>
                  <c:pt idx="63">
                    <c:v>ACHILEY GABRIELA VERONESE</c:v>
                  </c:pt>
                  <c:pt idx="64">
                    <c:v>FELIPE DOS SANTOS SILVA</c:v>
                  </c:pt>
                  <c:pt idx="65">
                    <c:v>JOAO VITOR TRINDADE DA SILVA</c:v>
                  </c:pt>
                  <c:pt idx="66">
                    <c:v>FRANCISCA ORLEENE MELO DOS SANTOS</c:v>
                  </c:pt>
                  <c:pt idx="67">
                    <c:v>MILENA LEITE DOS SANTOS</c:v>
                  </c:pt>
                  <c:pt idx="68">
                    <c:v>YUDI RAMOS SOARES</c:v>
                  </c:pt>
                  <c:pt idx="69">
                    <c:v>PAULO MARTINS</c:v>
                  </c:pt>
                  <c:pt idx="70">
                    <c:v>JOCELIA ARNAUD FARIAS</c:v>
                  </c:pt>
                  <c:pt idx="71">
                    <c:v>IAGO HENRIQUE RIBEIRO VIEIRA</c:v>
                  </c:pt>
                  <c:pt idx="72">
                    <c:v>KAUAN EXPEDITO MORAES PENHA</c:v>
                  </c:pt>
                  <c:pt idx="73">
                    <c:v>TATIANE EMILIA DOS SANTOS</c:v>
                  </c:pt>
                  <c:pt idx="74">
                    <c:v>ARTHUR FERNANDO DODA</c:v>
                  </c:pt>
                  <c:pt idx="75">
                    <c:v>GUILHERME HENRIQUE FERNANDES</c:v>
                  </c:pt>
                  <c:pt idx="76">
                    <c:v>IVAN APARECIDO RODRIGUES</c:v>
                  </c:pt>
                  <c:pt idx="77">
                    <c:v>MARIA HELENA ARDUINO DOS SANTOS</c:v>
                  </c:pt>
                  <c:pt idx="78">
                    <c:v>SIMONE CARNEIRO DA SILVA</c:v>
                  </c:pt>
                  <c:pt idx="79">
                    <c:v>KAINA SAIANE DA SILVA MATOS</c:v>
                  </c:pt>
                  <c:pt idx="80">
                    <c:v>DULCINEIA MORATO FRANCA DE OLIVEIRA</c:v>
                  </c:pt>
                  <c:pt idx="81">
                    <c:v>VITORIA APARECIDA GONCALVES ROSA</c:v>
                  </c:pt>
                  <c:pt idx="82">
                    <c:v>DUVAL PAULO PEREIRA DE SOUZA CRUZ</c:v>
                  </c:pt>
                  <c:pt idx="83">
                    <c:v>JENNIFER STEFANNY SILVA</c:v>
                  </c:pt>
                  <c:pt idx="84">
                    <c:v>BEATRIZ LORRANE RIBEIRO</c:v>
                  </c:pt>
                  <c:pt idx="85">
                    <c:v>EMILLY IVONE SCOMPARIM MENDES</c:v>
                  </c:pt>
                  <c:pt idx="86">
                    <c:v>FRANCIELE GONCALVES DE OLIVEIRA SANTOS</c:v>
                  </c:pt>
                  <c:pt idx="87">
                    <c:v>GUSTAVO DOS SANTOS SILVA</c:v>
                  </c:pt>
                  <c:pt idx="88">
                    <c:v>KLAYTONN FERNANDO RODRIGUES FERREIRA</c:v>
                  </c:pt>
                  <c:pt idx="89">
                    <c:v>ALESSANDRO CRAVO DE ALELUIA</c:v>
                  </c:pt>
                  <c:pt idx="90">
                    <c:v>ISABEL CRISTINA BORDIGNON GERALDO CRUZ</c:v>
                  </c:pt>
                  <c:pt idx="91">
                    <c:v>LUCAS APARECIDO DA SILVA CAMARGO</c:v>
                  </c:pt>
                  <c:pt idx="92">
                    <c:v>LEONARDO TARRAGA CAMPOS</c:v>
                  </c:pt>
                  <c:pt idx="93">
                    <c:v>ANTONIO CARLOS DE ALMEIDA NETO</c:v>
                  </c:pt>
                  <c:pt idx="94">
                    <c:v>JONAS ALVES DE PAULA</c:v>
                  </c:pt>
                  <c:pt idx="95">
                    <c:v>LAUREN STEFANY PEREIRA RODRIGUES</c:v>
                  </c:pt>
                  <c:pt idx="96">
                    <c:v>MONIQUE CAROLINA GONCALVES MARQUES</c:v>
                  </c:pt>
                  <c:pt idx="97">
                    <c:v>EDMILSON PEREIRA</c:v>
                  </c:pt>
                  <c:pt idx="98">
                    <c:v>HUDSON ALVES DA SILVA BRITO</c:v>
                  </c:pt>
                  <c:pt idx="99">
                    <c:v>ERIK DE OLIVEIRA</c:v>
                  </c:pt>
                  <c:pt idx="100">
                    <c:v>TATIANE DE SOUZA</c:v>
                  </c:pt>
                  <c:pt idx="101">
                    <c:v>GABRIELLY ALVES DOS SANTOS</c:v>
                  </c:pt>
                  <c:pt idx="102">
                    <c:v>IGLEISSON BARBOSA DA SILVA</c:v>
                  </c:pt>
                  <c:pt idx="103">
                    <c:v>YURI GABRIEL DE SOUZA RIBEIRO</c:v>
                  </c:pt>
                  <c:pt idx="104">
                    <c:v>LILIANA ANDREIA FURQUIM MORAES</c:v>
                  </c:pt>
                  <c:pt idx="105">
                    <c:v>HERNANDES CESAR DA SILVA FARIA</c:v>
                  </c:pt>
                  <c:pt idx="106">
                    <c:v>ALEXANDRE PEREIRA DUARTE</c:v>
                  </c:pt>
                  <c:pt idx="107">
                    <c:v>ANTONIO PEREIRA DE SOUZA</c:v>
                  </c:pt>
                  <c:pt idx="108">
                    <c:v>RAPHAEL MORAES DE LIMA</c:v>
                  </c:pt>
                  <c:pt idx="109">
                    <c:v>FABIO CUNHA CATANANTE</c:v>
                  </c:pt>
                  <c:pt idx="110">
                    <c:v>BRUNA TAVARES</c:v>
                  </c:pt>
                  <c:pt idx="111">
                    <c:v>LUIS ROBERTO DE OLIVEIRA</c:v>
                  </c:pt>
                  <c:pt idx="112">
                    <c:v>JEFFERSON DE ALMEIDA SILVA</c:v>
                  </c:pt>
                  <c:pt idx="113">
                    <c:v>KAUE DA SILVA</c:v>
                  </c:pt>
                  <c:pt idx="114">
                    <c:v>BIANCA GIOVANNA VESMA SILVA</c:v>
                  </c:pt>
                  <c:pt idx="115">
                    <c:v>MATEUS FERNANDES COSTA</c:v>
                  </c:pt>
                  <c:pt idx="116">
                    <c:v>GUILHERME BRANDAO NOVELI MOREIRA</c:v>
                  </c:pt>
                  <c:pt idx="117">
                    <c:v>BRUNA JACOB DE OLIVEIRA LIMA</c:v>
                  </c:pt>
                  <c:pt idx="118">
                    <c:v>CRISTIANO AKIRA TANAKA</c:v>
                  </c:pt>
                  <c:pt idx="119">
                    <c:v>VANIA LUCIA ROSA DODA</c:v>
                  </c:pt>
                  <c:pt idx="120">
                    <c:v>LUCAS HENRIQUE DE ALMEIDA</c:v>
                  </c:pt>
                  <c:pt idx="121">
                    <c:v>MARIA EDUARDA PORTO PACHECO DA CRUZ</c:v>
                  </c:pt>
                  <c:pt idx="122">
                    <c:v>LUCILENE GRAZIELE DA SILVA MESSIAS</c:v>
                  </c:pt>
                  <c:pt idx="123">
                    <c:v>MARIA EDUARDA NUNES DE SOUZA</c:v>
                  </c:pt>
                  <c:pt idx="124">
                    <c:v>LUAN MORAES LUCCHESI SOUZA</c:v>
                  </c:pt>
                  <c:pt idx="125">
                    <c:v>JOÃO VICTOR SILVA</c:v>
                  </c:pt>
                  <c:pt idx="126">
                    <c:v>JOAO VICTOR MARTINEZ MARTINHO</c:v>
                  </c:pt>
                  <c:pt idx="127">
                    <c:v>ALANA BORTOLLI</c:v>
                  </c:pt>
                  <c:pt idx="128">
                    <c:v>GUSTAVO AUGUSTO CASTILHO DE SOUSA GOIS</c:v>
                  </c:pt>
                  <c:pt idx="129">
                    <c:v>MILENE DIAS TARDELLI</c:v>
                  </c:pt>
                  <c:pt idx="130">
                    <c:v>CASSIA CRISTINE SOUZA PORTO DE PONTES</c:v>
                  </c:pt>
                  <c:pt idx="131">
                    <c:v>LUIZ GUILHERME COELHO</c:v>
                  </c:pt>
                  <c:pt idx="132">
                    <c:v>PAULO EDUARDO COSTA MENDES</c:v>
                  </c:pt>
                  <c:pt idx="133">
                    <c:v>LUA RIBEIRO DA SILVA</c:v>
                  </c:pt>
                  <c:pt idx="134">
                    <c:v>ELAINE CRISTINA FRAGOSO CAMARGO</c:v>
                  </c:pt>
                  <c:pt idx="135">
                    <c:v>CIRLENE BARBOSA REIS JULIAO</c:v>
                  </c:pt>
                  <c:pt idx="136">
                    <c:v>PATRICIA BARBOSA RODRIGUES</c:v>
                  </c:pt>
                  <c:pt idx="137">
                    <c:v>EDIO BORGES JUNIOR</c:v>
                  </c:pt>
                  <c:pt idx="138">
                    <c:v>MARIA JULIA MORENO BERMONTE</c:v>
                  </c:pt>
                  <c:pt idx="139">
                    <c:v>KASILEY PRISCILA MORENO BERMONTE FARIA</c:v>
                  </c:pt>
                  <c:pt idx="140">
                    <c:v>LILIAN THAIS SILVA</c:v>
                  </c:pt>
                  <c:pt idx="141">
                    <c:v>MARIANE DE ALCANTARA MARQUES</c:v>
                  </c:pt>
                  <c:pt idx="142">
                    <c:v>ALLISSON HENRIQUE PEREIRA</c:v>
                  </c:pt>
                  <c:pt idx="143">
                    <c:v>AMANDA ISABELI REIS JULIAO</c:v>
                  </c:pt>
                  <c:pt idx="144">
                    <c:v>ARTHUR DE MORAIS SOARES</c:v>
                  </c:pt>
                  <c:pt idx="145">
                    <c:v>JOSIANE PATRICIA DE OLIVEIRA</c:v>
                  </c:pt>
                  <c:pt idx="146">
                    <c:v>MURILO AUGUSTO SADUIKYS</c:v>
                  </c:pt>
                  <c:pt idx="147">
                    <c:v>VICTORIA COSTAMILAN CRISPIM</c:v>
                  </c:pt>
                  <c:pt idx="148">
                    <c:v>MARCELO ROCHA MENDES FILHO</c:v>
                  </c:pt>
                  <c:pt idx="149">
                    <c:v>MARGARENE BARROS BORGES</c:v>
                  </c:pt>
                  <c:pt idx="150">
                    <c:v>ANA LAURA GARCIA LOPES</c:v>
                  </c:pt>
                  <c:pt idx="151">
                    <c:v>KAILLANY ROCHA QUEIROZ</c:v>
                  </c:pt>
                  <c:pt idx="152">
                    <c:v>RENATA ALVES COSTA</c:v>
                  </c:pt>
                  <c:pt idx="153">
                    <c:v>ISAQUE MESSIAS DOS SANTOS</c:v>
                  </c:pt>
                  <c:pt idx="154">
                    <c:v>VINICIUS FRANCA ARAUJO SILVA</c:v>
                  </c:pt>
                  <c:pt idx="155">
                    <c:v>DANIELLE ROSA DE CAMPOS</c:v>
                  </c:pt>
                  <c:pt idx="156">
                    <c:v>PRISCILA APARECIDA DIAS</c:v>
                  </c:pt>
                  <c:pt idx="157">
                    <c:v>ANA LAURA VENANCIO RUBINIT DAS CHAGAS</c:v>
                  </c:pt>
                  <c:pt idx="158">
                    <c:v>DANIEL ALAN GOMES SANTOS</c:v>
                  </c:pt>
                  <c:pt idx="159">
                    <c:v>RENATA PEREIRA</c:v>
                  </c:pt>
                  <c:pt idx="160">
                    <c:v>MATHEUS MIRANDA LOPES</c:v>
                  </c:pt>
                  <c:pt idx="161">
                    <c:v>ALEXANDRE KENJI DODA</c:v>
                  </c:pt>
                  <c:pt idx="162">
                    <c:v>CARMEN LUCIA VIANA</c:v>
                  </c:pt>
                  <c:pt idx="163">
                    <c:v>LUIZA GABRIELLY RODRIGUES</c:v>
                  </c:pt>
                  <c:pt idx="164">
                    <c:v>DARLENE LOURENCO SALDANHA SANTOS</c:v>
                  </c:pt>
                  <c:pt idx="165">
                    <c:v>BRUNA FERNANDA DE OLIVEIRA LUCENA</c:v>
                  </c:pt>
                  <c:pt idx="166">
                    <c:v>PATRIK ARRUDA SIQUEIRA</c:v>
                  </c:pt>
                  <c:pt idx="167">
                    <c:v>SARAH BEATRIZ DE CAMPOS CAVALCANTI</c:v>
                  </c:pt>
                  <c:pt idx="168">
                    <c:v>NATALIE CRISTINE RODRIGUES DE SOUZA</c:v>
                  </c:pt>
                  <c:pt idx="169">
                    <c:v>JOÃO VITOR DA SILVA LIRA</c:v>
                  </c:pt>
                  <c:pt idx="170">
                    <c:v>FELIPE AUGUSTO FEIJÓ AIRES</c:v>
                  </c:pt>
                  <c:pt idx="171">
                    <c:v>GABRIEL HENRIQUE REIS JULIAO</c:v>
                  </c:pt>
                  <c:pt idx="172">
                    <c:v>BEATRIZ FERNANDA ALVES DE LIMA</c:v>
                  </c:pt>
                  <c:pt idx="173">
                    <c:v>LUCAS KAUÃ PORTO DE PONTES</c:v>
                  </c:pt>
                </c:lvl>
                <c:lvl>
                  <c:pt idx="0">
                    <c:v>NIVIA MATRIZ</c:v>
                  </c:pt>
                  <c:pt idx="74">
                    <c:v>ARTUR</c:v>
                  </c:pt>
                  <c:pt idx="128">
                    <c:v>NIVIA FILIAL</c:v>
                  </c:pt>
                </c:lvl>
              </c:multiLvlStrCache>
            </c:multiLvlStrRef>
          </c:cat>
          <c:val>
            <c:numRef>
              <c:f>Plan1!$I$2:$I$179</c:f>
              <c:numCache>
                <c:formatCode>0.00%</c:formatCode>
                <c:ptCount val="174"/>
                <c:pt idx="0">
                  <c:v>3.965130342668273E-3</c:v>
                </c:pt>
                <c:pt idx="1">
                  <c:v>3.9500745386985784E-3</c:v>
                </c:pt>
                <c:pt idx="2">
                  <c:v>3.8247393882560169E-3</c:v>
                </c:pt>
                <c:pt idx="3">
                  <c:v>3.4789040868051079E-3</c:v>
                </c:pt>
                <c:pt idx="4">
                  <c:v>2.2514323424132647E-3</c:v>
                </c:pt>
                <c:pt idx="5">
                  <c:v>2.2443172874856854E-3</c:v>
                </c:pt>
                <c:pt idx="6">
                  <c:v>2.157959822351496E-3</c:v>
                </c:pt>
                <c:pt idx="7">
                  <c:v>2.0248678671589003E-3</c:v>
                </c:pt>
                <c:pt idx="8">
                  <c:v>2.0176944773768074E-3</c:v>
                </c:pt>
                <c:pt idx="9">
                  <c:v>1.890499050694993E-3</c:v>
                </c:pt>
                <c:pt idx="10">
                  <c:v>1.8532940299418313E-3</c:v>
                </c:pt>
                <c:pt idx="11">
                  <c:v>1.8119829504529264E-3</c:v>
                </c:pt>
                <c:pt idx="12">
                  <c:v>1.7879360379458344E-3</c:v>
                </c:pt>
                <c:pt idx="13">
                  <c:v>1.766914539785881E-3</c:v>
                </c:pt>
                <c:pt idx="14">
                  <c:v>1.7576920727930055E-3</c:v>
                </c:pt>
                <c:pt idx="15">
                  <c:v>1.757126732643348E-3</c:v>
                </c:pt>
                <c:pt idx="16">
                  <c:v>1.7514834938364304E-3</c:v>
                </c:pt>
                <c:pt idx="17">
                  <c:v>1.7305978146903908E-3</c:v>
                </c:pt>
                <c:pt idx="18">
                  <c:v>1.6930275036570344E-3</c:v>
                </c:pt>
                <c:pt idx="19">
                  <c:v>1.6739016538353231E-3</c:v>
                </c:pt>
                <c:pt idx="20">
                  <c:v>1.6610078145925932E-3</c:v>
                </c:pt>
                <c:pt idx="21">
                  <c:v>1.6403630040852802E-3</c:v>
                </c:pt>
                <c:pt idx="22">
                  <c:v>1.6241294104163456E-3</c:v>
                </c:pt>
                <c:pt idx="23">
                  <c:v>1.6239122976996184E-3</c:v>
                </c:pt>
                <c:pt idx="24">
                  <c:v>1.6188918469570205E-3</c:v>
                </c:pt>
                <c:pt idx="25">
                  <c:v>1.5994852318321868E-3</c:v>
                </c:pt>
                <c:pt idx="26">
                  <c:v>1.5890869834532149E-3</c:v>
                </c:pt>
                <c:pt idx="27">
                  <c:v>1.5833481700397167E-3</c:v>
                </c:pt>
                <c:pt idx="28">
                  <c:v>1.5791269927628794E-3</c:v>
                </c:pt>
                <c:pt idx="29">
                  <c:v>1.5676660263390736E-3</c:v>
                </c:pt>
                <c:pt idx="30">
                  <c:v>1.5633497355080894E-3</c:v>
                </c:pt>
                <c:pt idx="31">
                  <c:v>1.562393090780759E-3</c:v>
                </c:pt>
                <c:pt idx="32">
                  <c:v>1.5496050865148677E-3</c:v>
                </c:pt>
                <c:pt idx="33">
                  <c:v>1.5446936629511271E-3</c:v>
                </c:pt>
                <c:pt idx="34">
                  <c:v>1.5283606226166153E-3</c:v>
                </c:pt>
                <c:pt idx="35">
                  <c:v>1.5206761093252688E-3</c:v>
                </c:pt>
                <c:pt idx="36">
                  <c:v>1.4794328709669003E-3</c:v>
                </c:pt>
                <c:pt idx="37">
                  <c:v>1.4749379926479564E-3</c:v>
                </c:pt>
                <c:pt idx="38">
                  <c:v>1.4656192633770741E-3</c:v>
                </c:pt>
                <c:pt idx="39">
                  <c:v>1.4368359474986776E-3</c:v>
                </c:pt>
                <c:pt idx="40">
                  <c:v>1.4332153730682153E-3</c:v>
                </c:pt>
                <c:pt idx="41">
                  <c:v>1.4307368763095134E-3</c:v>
                </c:pt>
                <c:pt idx="42">
                  <c:v>1.4302600543198692E-3</c:v>
                </c:pt>
                <c:pt idx="43">
                  <c:v>1.401526160918013E-3</c:v>
                </c:pt>
                <c:pt idx="44">
                  <c:v>1.3836493333965207E-3</c:v>
                </c:pt>
                <c:pt idx="45">
                  <c:v>1.3795560981699881E-3</c:v>
                </c:pt>
                <c:pt idx="46">
                  <c:v>1.3778728191785215E-3</c:v>
                </c:pt>
                <c:pt idx="47">
                  <c:v>1.3630246919795628E-3</c:v>
                </c:pt>
                <c:pt idx="48">
                  <c:v>1.353801201293996E-3</c:v>
                </c:pt>
                <c:pt idx="49">
                  <c:v>1.3525666005576086E-3</c:v>
                </c:pt>
                <c:pt idx="50">
                  <c:v>1.3521956291736993E-3</c:v>
                </c:pt>
                <c:pt idx="51">
                  <c:v>1.3360791584517773E-3</c:v>
                </c:pt>
                <c:pt idx="52">
                  <c:v>1.3226461301097078E-3</c:v>
                </c:pt>
                <c:pt idx="53">
                  <c:v>1.3112016678001328E-3</c:v>
                </c:pt>
                <c:pt idx="54">
                  <c:v>1.2904729535643657E-3</c:v>
                </c:pt>
                <c:pt idx="55">
                  <c:v>1.2794186549230516E-3</c:v>
                </c:pt>
                <c:pt idx="56">
                  <c:v>1.279240165115692E-3</c:v>
                </c:pt>
                <c:pt idx="57">
                  <c:v>1.2789415281699342E-3</c:v>
                </c:pt>
                <c:pt idx="58">
                  <c:v>1.2723970295360698E-3</c:v>
                </c:pt>
                <c:pt idx="59">
                  <c:v>1.2666774044996993E-3</c:v>
                </c:pt>
                <c:pt idx="60">
                  <c:v>1.2603024559446523E-3</c:v>
                </c:pt>
                <c:pt idx="61">
                  <c:v>1.2057298088250384E-3</c:v>
                </c:pt>
                <c:pt idx="62">
                  <c:v>1.2035818163311438E-3</c:v>
                </c:pt>
                <c:pt idx="63">
                  <c:v>1.1100897054481739E-3</c:v>
                </c:pt>
                <c:pt idx="64">
                  <c:v>1.0921114502985302E-3</c:v>
                </c:pt>
                <c:pt idx="65">
                  <c:v>1.0551180018184454E-3</c:v>
                </c:pt>
                <c:pt idx="66">
                  <c:v>8.3641944445190066E-4</c:v>
                </c:pt>
                <c:pt idx="67">
                  <c:v>8.0494916969204005E-4</c:v>
                </c:pt>
                <c:pt idx="68">
                  <c:v>6.6163207568036605E-4</c:v>
                </c:pt>
                <c:pt idx="69">
                  <c:v>5.8821889986536207E-4</c:v>
                </c:pt>
                <c:pt idx="70">
                  <c:v>5.6158792131396284E-4</c:v>
                </c:pt>
                <c:pt idx="71">
                  <c:v>4.7285225004703614E-4</c:v>
                </c:pt>
                <c:pt idx="72">
                  <c:v>3.971849498122741E-4</c:v>
                </c:pt>
                <c:pt idx="73">
                  <c:v>2.8293472283283996E-4</c:v>
                </c:pt>
                <c:pt idx="74">
                  <c:v>5.4013829679389041E-3</c:v>
                </c:pt>
                <c:pt idx="75">
                  <c:v>4.6403628056654227E-3</c:v>
                </c:pt>
                <c:pt idx="76">
                  <c:v>3.5785977817590314E-3</c:v>
                </c:pt>
                <c:pt idx="77">
                  <c:v>2.9238253023941528E-3</c:v>
                </c:pt>
                <c:pt idx="78">
                  <c:v>2.9046128805042875E-3</c:v>
                </c:pt>
                <c:pt idx="79">
                  <c:v>2.8034426805139592E-3</c:v>
                </c:pt>
                <c:pt idx="80">
                  <c:v>2.7825365540652671E-3</c:v>
                </c:pt>
                <c:pt idx="81">
                  <c:v>2.5927132260972906E-3</c:v>
                </c:pt>
                <c:pt idx="82">
                  <c:v>2.4993699641300956E-3</c:v>
                </c:pt>
                <c:pt idx="83">
                  <c:v>2.4769563832933825E-3</c:v>
                </c:pt>
                <c:pt idx="84">
                  <c:v>2.4697533342334086E-3</c:v>
                </c:pt>
                <c:pt idx="85">
                  <c:v>2.4120727422516364E-3</c:v>
                </c:pt>
                <c:pt idx="86">
                  <c:v>2.353609915002516E-3</c:v>
                </c:pt>
                <c:pt idx="87">
                  <c:v>2.3533115913820677E-3</c:v>
                </c:pt>
                <c:pt idx="88">
                  <c:v>2.3228995771347521E-3</c:v>
                </c:pt>
                <c:pt idx="89">
                  <c:v>2.2398743285332061E-3</c:v>
                </c:pt>
                <c:pt idx="90">
                  <c:v>2.2078960614793086E-3</c:v>
                </c:pt>
                <c:pt idx="91">
                  <c:v>2.1902570380371695E-3</c:v>
                </c:pt>
                <c:pt idx="92">
                  <c:v>2.1834852987731054E-3</c:v>
                </c:pt>
                <c:pt idx="93">
                  <c:v>2.180193067388351E-3</c:v>
                </c:pt>
                <c:pt idx="94">
                  <c:v>2.1677171476472213E-3</c:v>
                </c:pt>
                <c:pt idx="95">
                  <c:v>2.1503483397977384E-3</c:v>
                </c:pt>
                <c:pt idx="96">
                  <c:v>2.1497516925568423E-3</c:v>
                </c:pt>
                <c:pt idx="97">
                  <c:v>2.144667538534208E-3</c:v>
                </c:pt>
                <c:pt idx="98">
                  <c:v>2.1307518355579507E-3</c:v>
                </c:pt>
                <c:pt idx="99">
                  <c:v>2.1112507076943669E-3</c:v>
                </c:pt>
                <c:pt idx="100">
                  <c:v>2.1073240647691066E-3</c:v>
                </c:pt>
                <c:pt idx="101">
                  <c:v>2.1030650695215156E-3</c:v>
                </c:pt>
                <c:pt idx="102">
                  <c:v>2.0761701729527676E-3</c:v>
                </c:pt>
                <c:pt idx="103">
                  <c:v>2.0355893485340493E-3</c:v>
                </c:pt>
                <c:pt idx="104">
                  <c:v>1.9657891366875848E-3</c:v>
                </c:pt>
                <c:pt idx="105">
                  <c:v>1.9631154805575548E-3</c:v>
                </c:pt>
                <c:pt idx="106">
                  <c:v>1.9564158488135511E-3</c:v>
                </c:pt>
                <c:pt idx="107">
                  <c:v>1.9496032000642016E-3</c:v>
                </c:pt>
                <c:pt idx="108">
                  <c:v>1.9153573810478089E-3</c:v>
                </c:pt>
                <c:pt idx="109">
                  <c:v>1.9120989300608041E-3</c:v>
                </c:pt>
                <c:pt idx="110">
                  <c:v>1.9070148863955625E-3</c:v>
                </c:pt>
                <c:pt idx="111">
                  <c:v>1.9023352087689279E-3</c:v>
                </c:pt>
                <c:pt idx="112">
                  <c:v>1.8815465412106176E-3</c:v>
                </c:pt>
                <c:pt idx="113">
                  <c:v>1.8660783635481939E-3</c:v>
                </c:pt>
                <c:pt idx="114">
                  <c:v>1.8584172264710921E-3</c:v>
                </c:pt>
                <c:pt idx="115">
                  <c:v>1.7965732032254997E-3</c:v>
                </c:pt>
                <c:pt idx="116">
                  <c:v>1.7953349988029535E-3</c:v>
                </c:pt>
                <c:pt idx="117">
                  <c:v>1.7478949217081623E-3</c:v>
                </c:pt>
                <c:pt idx="118">
                  <c:v>1.6754293746790393E-3</c:v>
                </c:pt>
                <c:pt idx="119">
                  <c:v>1.5065715288831451E-3</c:v>
                </c:pt>
                <c:pt idx="120">
                  <c:v>1.4506349699489095E-3</c:v>
                </c:pt>
                <c:pt idx="121">
                  <c:v>1.1752477319293578E-3</c:v>
                </c:pt>
                <c:pt idx="122">
                  <c:v>1.102378056130021E-3</c:v>
                </c:pt>
                <c:pt idx="123">
                  <c:v>9.6027980322217548E-4</c:v>
                </c:pt>
                <c:pt idx="124">
                  <c:v>7.6978143563975645E-4</c:v>
                </c:pt>
                <c:pt idx="125">
                  <c:v>7.644015127703037E-4</c:v>
                </c:pt>
                <c:pt idx="126">
                  <c:v>7.2913129022513163E-4</c:v>
                </c:pt>
                <c:pt idx="127">
                  <c:v>1.2069562303380372E-4</c:v>
                </c:pt>
                <c:pt idx="128">
                  <c:v>4.7452647121830711E-3</c:v>
                </c:pt>
                <c:pt idx="129">
                  <c:v>4.0494631074877233E-3</c:v>
                </c:pt>
                <c:pt idx="130">
                  <c:v>3.1468098179123997E-3</c:v>
                </c:pt>
                <c:pt idx="131">
                  <c:v>3.0537447533621675E-3</c:v>
                </c:pt>
                <c:pt idx="132">
                  <c:v>3.0366275529164159E-3</c:v>
                </c:pt>
                <c:pt idx="133">
                  <c:v>2.9741802491005543E-3</c:v>
                </c:pt>
                <c:pt idx="134">
                  <c:v>2.9448110001637951E-3</c:v>
                </c:pt>
                <c:pt idx="135">
                  <c:v>2.7879204746466212E-3</c:v>
                </c:pt>
                <c:pt idx="136">
                  <c:v>2.7486617849748346E-3</c:v>
                </c:pt>
                <c:pt idx="137">
                  <c:v>2.6674714070406987E-3</c:v>
                </c:pt>
                <c:pt idx="138">
                  <c:v>2.6528957898173185E-3</c:v>
                </c:pt>
                <c:pt idx="139">
                  <c:v>2.6449349742321722E-3</c:v>
                </c:pt>
                <c:pt idx="140">
                  <c:v>2.6292259817079044E-3</c:v>
                </c:pt>
                <c:pt idx="141">
                  <c:v>2.6220240747401023E-3</c:v>
                </c:pt>
                <c:pt idx="142">
                  <c:v>2.5791666950976651E-3</c:v>
                </c:pt>
                <c:pt idx="143">
                  <c:v>2.575544975195678E-3</c:v>
                </c:pt>
                <c:pt idx="144">
                  <c:v>2.524654492303617E-3</c:v>
                </c:pt>
                <c:pt idx="145">
                  <c:v>2.5079414408329119E-3</c:v>
                </c:pt>
                <c:pt idx="146">
                  <c:v>2.4782875287848644E-3</c:v>
                </c:pt>
                <c:pt idx="147">
                  <c:v>2.388789333420154E-3</c:v>
                </c:pt>
                <c:pt idx="148">
                  <c:v>2.3515740105961502E-3</c:v>
                </c:pt>
                <c:pt idx="149">
                  <c:v>2.2738964604686589E-3</c:v>
                </c:pt>
                <c:pt idx="150">
                  <c:v>2.2331368180519024E-3</c:v>
                </c:pt>
                <c:pt idx="151">
                  <c:v>2.23041317335234E-3</c:v>
                </c:pt>
                <c:pt idx="152">
                  <c:v>2.2159180490289735E-3</c:v>
                </c:pt>
                <c:pt idx="153">
                  <c:v>2.1806144473852495E-3</c:v>
                </c:pt>
                <c:pt idx="154">
                  <c:v>2.100605919467475E-3</c:v>
                </c:pt>
                <c:pt idx="155">
                  <c:v>2.0608827555604996E-3</c:v>
                </c:pt>
                <c:pt idx="156">
                  <c:v>2.0318725169333656E-3</c:v>
                </c:pt>
                <c:pt idx="157">
                  <c:v>2.0281205660596571E-3</c:v>
                </c:pt>
                <c:pt idx="158">
                  <c:v>2.025818040104546E-3</c:v>
                </c:pt>
                <c:pt idx="159">
                  <c:v>2.0011365336914701E-3</c:v>
                </c:pt>
                <c:pt idx="160">
                  <c:v>1.9436011852308104E-3</c:v>
                </c:pt>
                <c:pt idx="161">
                  <c:v>1.8581864598913973E-3</c:v>
                </c:pt>
                <c:pt idx="162">
                  <c:v>1.6916603163824333E-3</c:v>
                </c:pt>
                <c:pt idx="163">
                  <c:v>1.6214782456274695E-3</c:v>
                </c:pt>
                <c:pt idx="164">
                  <c:v>1.5773134173031386E-3</c:v>
                </c:pt>
                <c:pt idx="165">
                  <c:v>1.3561259620646891E-3</c:v>
                </c:pt>
                <c:pt idx="166">
                  <c:v>1.2055636471402086E-3</c:v>
                </c:pt>
                <c:pt idx="167">
                  <c:v>1.1846753151779346E-3</c:v>
                </c:pt>
                <c:pt idx="168">
                  <c:v>1.1527793406145067E-3</c:v>
                </c:pt>
                <c:pt idx="169">
                  <c:v>9.0165471175254308E-4</c:v>
                </c:pt>
                <c:pt idx="170">
                  <c:v>8.4655904235807764E-4</c:v>
                </c:pt>
                <c:pt idx="171">
                  <c:v>8.2333320526498176E-4</c:v>
                </c:pt>
                <c:pt idx="172">
                  <c:v>7.3768620661808244E-4</c:v>
                </c:pt>
                <c:pt idx="173">
                  <c:v>6.6240662506114362E-4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8-4AB8-8170-56E3B8713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5277391"/>
        <c:axId val="1585275951"/>
      </c:barChart>
      <c:catAx>
        <c:axId val="15852773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5275951"/>
        <c:crosses val="autoZero"/>
        <c:auto val="1"/>
        <c:lblAlgn val="ctr"/>
        <c:lblOffset val="100"/>
        <c:noMultiLvlLbl val="0"/>
      </c:catAx>
      <c:valAx>
        <c:axId val="158527595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85277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[DADOS.xlsm]Plan1!Tabela dinâmica6</c:name>
    <c:fmtId val="2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Plan1!$X$1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Plan1!$W$2:$W$176</c:f>
              <c:strCache>
                <c:ptCount val="174"/>
                <c:pt idx="0">
                  <c:v>CASSIA CRISTINE SOUZA PORTO DE PONTES</c:v>
                </c:pt>
                <c:pt idx="1">
                  <c:v>CARLO LUCIO DODA</c:v>
                </c:pt>
                <c:pt idx="2">
                  <c:v>ALESSANDRO CRAVO DE ALELUIA</c:v>
                </c:pt>
                <c:pt idx="3">
                  <c:v>ELAINE CRISTINA FRAGOSO CAMARGO</c:v>
                </c:pt>
                <c:pt idx="4">
                  <c:v>MARIA ESTEFANY CAMILA ALBINO LOPES</c:v>
                </c:pt>
                <c:pt idx="5">
                  <c:v>DULCINEIA MORATO FRANCA DE OLIVEIRA</c:v>
                </c:pt>
                <c:pt idx="6">
                  <c:v>INACIO BISPO DE LIMA MORAIS</c:v>
                </c:pt>
                <c:pt idx="7">
                  <c:v>KENNEDY FERREIRA DE SOUZA</c:v>
                </c:pt>
                <c:pt idx="8">
                  <c:v>RENATA PEREIRA</c:v>
                </c:pt>
                <c:pt idx="9">
                  <c:v>FRANCIELE GONCALVES DE OLIVEIRA SANTOS</c:v>
                </c:pt>
                <c:pt idx="10">
                  <c:v>LEONARDO TARRAGA CAMPOS</c:v>
                </c:pt>
                <c:pt idx="11">
                  <c:v>LEANDRO ANTONIO DA SILVA MEDEIROS</c:v>
                </c:pt>
                <c:pt idx="12">
                  <c:v>KAINA SAIANE DA SILVA MATOS</c:v>
                </c:pt>
                <c:pt idx="13">
                  <c:v>ANDERSON JUNIOR DOS SANTOS LUZ</c:v>
                </c:pt>
                <c:pt idx="14">
                  <c:v>AMANDA CRISTINA ROSA DE CARVALHO</c:v>
                </c:pt>
                <c:pt idx="15">
                  <c:v>JACKSON DA SILVA</c:v>
                </c:pt>
                <c:pt idx="16">
                  <c:v>EDIO BORGES JUNIOR</c:v>
                </c:pt>
                <c:pt idx="17">
                  <c:v>LUIZ GUILHERME COELHO</c:v>
                </c:pt>
                <c:pt idx="18">
                  <c:v>ERIK DE OLIVEIRA</c:v>
                </c:pt>
                <c:pt idx="19">
                  <c:v>SUELEN FRANCINE SILVA</c:v>
                </c:pt>
                <c:pt idx="20">
                  <c:v>VANDRE VINICIUS DODA</c:v>
                </c:pt>
                <c:pt idx="21">
                  <c:v>AMANDA ISABELI REIS JULIAO</c:v>
                </c:pt>
                <c:pt idx="22">
                  <c:v>CIRLENE BARBOSA REIS JULIAO</c:v>
                </c:pt>
                <c:pt idx="23">
                  <c:v>VITORIA APARECIDA GONCALVES ROSA</c:v>
                </c:pt>
                <c:pt idx="24">
                  <c:v>KLAYTONN FERNANDO RODRIGUES FERREIRA</c:v>
                </c:pt>
                <c:pt idx="25">
                  <c:v>LEANDRO VENANCIO DE SIQUEIRA</c:v>
                </c:pt>
                <c:pt idx="26">
                  <c:v>LUIZ HENRIQUE DOMINGUES</c:v>
                </c:pt>
                <c:pt idx="27">
                  <c:v>MARIA JULIA MORENO BERMONTE</c:v>
                </c:pt>
                <c:pt idx="28">
                  <c:v>DUVAL PAULO PEREIRA DE SOUZA CRUZ</c:v>
                </c:pt>
                <c:pt idx="29">
                  <c:v>CLAUDIUS GUSTAVO DA CRUZ</c:v>
                </c:pt>
                <c:pt idx="30">
                  <c:v>IGLEISSON BARBOSA DA SILVA</c:v>
                </c:pt>
                <c:pt idx="31">
                  <c:v>MARIANE DE ALCANTARA MARQUES</c:v>
                </c:pt>
                <c:pt idx="32">
                  <c:v>MILENA LEITE DOS SANTOS</c:v>
                </c:pt>
                <c:pt idx="33">
                  <c:v>ELISAMA SIQUEIRA DA SILVA</c:v>
                </c:pt>
                <c:pt idx="34">
                  <c:v>TEREZA SONIA ASCENCIO</c:v>
                </c:pt>
                <c:pt idx="35">
                  <c:v>ALESSANDRO YUICHI HONMA</c:v>
                </c:pt>
                <c:pt idx="36">
                  <c:v>VICTORIA COSTAMILAN CRISPIM</c:v>
                </c:pt>
                <c:pt idx="37">
                  <c:v>DAIANE OLIVEIRA DA COSTA</c:v>
                </c:pt>
                <c:pt idx="38">
                  <c:v>ANTONIO CARLOS DE ALMEIDA NETO</c:v>
                </c:pt>
                <c:pt idx="39">
                  <c:v>JAEL CASSIMIRO DA SILVA FERNANDES</c:v>
                </c:pt>
                <c:pt idx="40">
                  <c:v>IVAN APARECIDO RODRIGUES</c:v>
                </c:pt>
                <c:pt idx="41">
                  <c:v>TATIANE DE SOUZA</c:v>
                </c:pt>
                <c:pt idx="42">
                  <c:v>DANIEL ALAN GOMES SANTOS</c:v>
                </c:pt>
                <c:pt idx="43">
                  <c:v>ARTHUR DE MORAIS SOARES</c:v>
                </c:pt>
                <c:pt idx="44">
                  <c:v>LUCILENE GRAZIELE DA SILVA MESSIAS</c:v>
                </c:pt>
                <c:pt idx="45">
                  <c:v>ANTHONY VINICIUS CLETO NUNES</c:v>
                </c:pt>
                <c:pt idx="46">
                  <c:v>FRANCINE MARQUES OLIVEIRA</c:v>
                </c:pt>
                <c:pt idx="47">
                  <c:v>PATRICIA BARBOSA RODRIGUES</c:v>
                </c:pt>
                <c:pt idx="48">
                  <c:v>LILIAN THAIS SILVA</c:v>
                </c:pt>
                <c:pt idx="49">
                  <c:v>LAUREN STEFANY PEREIRA RODRIGUES</c:v>
                </c:pt>
                <c:pt idx="50">
                  <c:v>ISABEL CRISTINA BORDIGNON GERALDO CRUZ</c:v>
                </c:pt>
                <c:pt idx="51">
                  <c:v>SARAH BEATRIZ DE CAMPOS CAVALCANTI</c:v>
                </c:pt>
                <c:pt idx="52">
                  <c:v>JENNIFER STEFANNY SILVA</c:v>
                </c:pt>
                <c:pt idx="53">
                  <c:v>KELVYN HENRIQUE DE OLIVEIRA XAVIER</c:v>
                </c:pt>
                <c:pt idx="54">
                  <c:v>ANTONIO PEREIRA DE SOUZA</c:v>
                </c:pt>
                <c:pt idx="55">
                  <c:v>LUIZA RHENATA OLIVEIRA LIMA</c:v>
                </c:pt>
                <c:pt idx="56">
                  <c:v>VANESSA APARECIDA BRAGA</c:v>
                </c:pt>
                <c:pt idx="57">
                  <c:v>PAMELA DE OLIVEIRA ALMEIDA</c:v>
                </c:pt>
                <c:pt idx="58">
                  <c:v>LUA RIBEIRO DA SILVA</c:v>
                </c:pt>
                <c:pt idx="59">
                  <c:v>FRANCIELE SIQUEIRA COSTA DOS PASSOS</c:v>
                </c:pt>
                <c:pt idx="60">
                  <c:v>IANARA CAROLINE PEREIRA CAMARGO</c:v>
                </c:pt>
                <c:pt idx="61">
                  <c:v>ESTEFANNY RAFAELA FERREIRA</c:v>
                </c:pt>
                <c:pt idx="62">
                  <c:v>SAMUEL AUGUSTO FLORENTINO STOCCO</c:v>
                </c:pt>
                <c:pt idx="63">
                  <c:v>GABRIELLY ALVES DOS SANTOS</c:v>
                </c:pt>
                <c:pt idx="64">
                  <c:v>FERNANDA CRISTINA VIEIRA</c:v>
                </c:pt>
                <c:pt idx="65">
                  <c:v>RENATA ALVES COSTA</c:v>
                </c:pt>
                <c:pt idx="66">
                  <c:v>EDSON JUNIOR QUEIROZ LIMA</c:v>
                </c:pt>
                <c:pt idx="67">
                  <c:v>MURILO AUGUSTO SADUIKYS</c:v>
                </c:pt>
                <c:pt idx="68">
                  <c:v>JOSIANE PATRICIA DE OLIVEIRA</c:v>
                </c:pt>
                <c:pt idx="69">
                  <c:v>MONIQUE CAROLINA GONCALVES MARQUES</c:v>
                </c:pt>
                <c:pt idx="70">
                  <c:v>NATALIE CRISTINE RODRIGUES DE SOUZA</c:v>
                </c:pt>
                <c:pt idx="71">
                  <c:v>VANESSA DE OLIVEIRA</c:v>
                </c:pt>
                <c:pt idx="72">
                  <c:v>ALEXANDRE DA PALMA BRANCO</c:v>
                </c:pt>
                <c:pt idx="73">
                  <c:v>DAIANE DA SILVA RIBEIRO</c:v>
                </c:pt>
                <c:pt idx="74">
                  <c:v>MARIA EDUARDA NUNES DE SOUZA</c:v>
                </c:pt>
                <c:pt idx="75">
                  <c:v>RENAN SILVA DE ALMEIDA</c:v>
                </c:pt>
                <c:pt idx="76">
                  <c:v>MAYCON VINICIUS DE CAMARGO SILVA</c:v>
                </c:pt>
                <c:pt idx="77">
                  <c:v>ANA LAURA GARCIA LOPES</c:v>
                </c:pt>
                <c:pt idx="78">
                  <c:v>VALERIA APARECIDA ANTUNES RAMOS</c:v>
                </c:pt>
                <c:pt idx="79">
                  <c:v>EMILLY IVONE SCOMPARIM MENDES</c:v>
                </c:pt>
                <c:pt idx="80">
                  <c:v>KAILLANY ROCHA QUEIROZ</c:v>
                </c:pt>
                <c:pt idx="81">
                  <c:v>SILVANA DOMINGUES RODRIGUES</c:v>
                </c:pt>
                <c:pt idx="82">
                  <c:v>BRUNA TAVARES</c:v>
                </c:pt>
                <c:pt idx="83">
                  <c:v>EZEQUIEL ALLAN VIEIRA ALVES</c:v>
                </c:pt>
                <c:pt idx="84">
                  <c:v>ALLISSON HENRIQUE PEREIRA</c:v>
                </c:pt>
                <c:pt idx="85">
                  <c:v>MARCELO ROCHA MENDES FILHO</c:v>
                </c:pt>
                <c:pt idx="86">
                  <c:v>MARIA HELENA ARDUINO DOS SANTOS</c:v>
                </c:pt>
                <c:pt idx="87">
                  <c:v>PATRIK ARRUDA SIQUEIRA</c:v>
                </c:pt>
                <c:pt idx="88">
                  <c:v>HERNANDES CESAR DA SILVA FARIA</c:v>
                </c:pt>
                <c:pt idx="89">
                  <c:v>LUCAS APARECIDO DA SILVA CAMARGO</c:v>
                </c:pt>
                <c:pt idx="90">
                  <c:v>HUDSON ALVES DA SILVA BRITO</c:v>
                </c:pt>
                <c:pt idx="91">
                  <c:v>GUSTAVO DOS SANTOS SILVA</c:v>
                </c:pt>
                <c:pt idx="92">
                  <c:v>ULISSES AMANTINO DE CAMARGO</c:v>
                </c:pt>
                <c:pt idx="93">
                  <c:v>YUDI RAMOS SOARES</c:v>
                </c:pt>
                <c:pt idx="94">
                  <c:v>ANGELA MARINALVA DA SILVA</c:v>
                </c:pt>
                <c:pt idx="95">
                  <c:v>KAUE DA SILVA</c:v>
                </c:pt>
                <c:pt idx="96">
                  <c:v>BIANCA GIOVANNA VESMA SILVA</c:v>
                </c:pt>
                <c:pt idx="97">
                  <c:v>JEFFERSON DE ALMEIDA SILVA</c:v>
                </c:pt>
                <c:pt idx="98">
                  <c:v>LETICIA TAWANE DE AZEVEDO OLIVEIRA</c:v>
                </c:pt>
                <c:pt idx="99">
                  <c:v>JOCELIA ARNAUD FARIAS</c:v>
                </c:pt>
                <c:pt idx="100">
                  <c:v>THAIS DOS SANTOS DIVINO</c:v>
                </c:pt>
                <c:pt idx="101">
                  <c:v>ISAQUE MESSIAS DOS SANTOS</c:v>
                </c:pt>
                <c:pt idx="102">
                  <c:v>MATHEUS MIRANDA LOPES</c:v>
                </c:pt>
                <c:pt idx="103">
                  <c:v>PAULO BARBOSA DOS SANTOS</c:v>
                </c:pt>
                <c:pt idx="104">
                  <c:v>LILIANA ANDREIA FURQUIM MORAES</c:v>
                </c:pt>
                <c:pt idx="105">
                  <c:v>HELLEN BEATRIZ GONCALVES DE CAMPOS</c:v>
                </c:pt>
                <c:pt idx="106">
                  <c:v>YURI GABRIEL DE SOUZA RIBEIRO</c:v>
                </c:pt>
                <c:pt idx="107">
                  <c:v>CLAUDIANE ANDRIELI VIEIRA DA SILVA</c:v>
                </c:pt>
                <c:pt idx="108">
                  <c:v>VINICIUS FRANCA ARAUJO SILVA</c:v>
                </c:pt>
                <c:pt idx="109">
                  <c:v>JONAS ALVES DE PAULA</c:v>
                </c:pt>
                <c:pt idx="110">
                  <c:v>JULIA REGINA AGUILERA</c:v>
                </c:pt>
                <c:pt idx="111">
                  <c:v>MARIA ANTONIA DA CRUZ MEIRA</c:v>
                </c:pt>
                <c:pt idx="112">
                  <c:v>BIANCA AGAPY MOREIRA LOPES</c:v>
                </c:pt>
                <c:pt idx="113">
                  <c:v>MATEUS FERNANDES COSTA</c:v>
                </c:pt>
                <c:pt idx="114">
                  <c:v>EDNEIDE HERMOGENES BONIFACIO DA SILVA</c:v>
                </c:pt>
                <c:pt idx="115">
                  <c:v>ALEX PAULO FERRAZ</c:v>
                </c:pt>
                <c:pt idx="116">
                  <c:v>GISELE SILVA BRANDAO</c:v>
                </c:pt>
                <c:pt idx="117">
                  <c:v>JOSIANE APARECIDA FERREIRA</c:v>
                </c:pt>
                <c:pt idx="118">
                  <c:v>BRUNA JACOB DE OLIVEIRA LIMA</c:v>
                </c:pt>
                <c:pt idx="119">
                  <c:v>CASSIA CECILIA GONZALEZ</c:v>
                </c:pt>
                <c:pt idx="120">
                  <c:v>ACHILEY GABRIELA VERONESE</c:v>
                </c:pt>
                <c:pt idx="121">
                  <c:v>FABIO CUNHA CATANANTE</c:v>
                </c:pt>
                <c:pt idx="122">
                  <c:v>LUCAS HENRIQUE DE ALMEIDA</c:v>
                </c:pt>
                <c:pt idx="123">
                  <c:v>PAULO EDUARDO COSTA MENDES</c:v>
                </c:pt>
                <c:pt idx="124">
                  <c:v>GUILHERME BRANDAO NOVELI MOREIRA</c:v>
                </c:pt>
                <c:pt idx="125">
                  <c:v>KASILEY PRISCILA MORENO BERMONTE FARIA</c:v>
                </c:pt>
                <c:pt idx="126">
                  <c:v>FELIPE DOS SANTOS SILVA</c:v>
                </c:pt>
                <c:pt idx="127">
                  <c:v>ALANA BORTOLLI</c:v>
                </c:pt>
                <c:pt idx="128">
                  <c:v>EDMILSON PEREIRA</c:v>
                </c:pt>
                <c:pt idx="129">
                  <c:v>BEATRIZ LORRANE RIBEIRO</c:v>
                </c:pt>
                <c:pt idx="130">
                  <c:v>BEATRIZ FERNANDA ALVES DE LIMA</c:v>
                </c:pt>
                <c:pt idx="131">
                  <c:v>TATIANE EMILIA DOS SANTOS</c:v>
                </c:pt>
                <c:pt idx="132">
                  <c:v>SEVERINO ANTONIO SALES</c:v>
                </c:pt>
                <c:pt idx="133">
                  <c:v>FRANCISCA ORLEENE MELO DOS SANTOS</c:v>
                </c:pt>
                <c:pt idx="134">
                  <c:v>GEISSE CRISTINA DOS SANTOS NUNES</c:v>
                </c:pt>
                <c:pt idx="135">
                  <c:v>GUILHERME HENRIQUE FERNANDES</c:v>
                </c:pt>
                <c:pt idx="136">
                  <c:v>FELIPE AUGUSTO FEIJÓ AIRES</c:v>
                </c:pt>
                <c:pt idx="137">
                  <c:v>GUSTAVO AUGUSTO CASTILHO DE SOUSA GOIS</c:v>
                </c:pt>
                <c:pt idx="138">
                  <c:v>JOAO VITOR TRINDADE DA SILVA</c:v>
                </c:pt>
                <c:pt idx="139">
                  <c:v>JOÃO VITOR DA SILVA LIRA</c:v>
                </c:pt>
                <c:pt idx="140">
                  <c:v>IAGO HENRIQUE RIBEIRO VIEIRA</c:v>
                </c:pt>
                <c:pt idx="141">
                  <c:v>MARIA EDUARDA PORTO PACHECO DA CRUZ</c:v>
                </c:pt>
                <c:pt idx="142">
                  <c:v>MILENE DE FATIMA DA CONCEICAO</c:v>
                </c:pt>
                <c:pt idx="143">
                  <c:v>GUILHERME SILVA ALBERTO</c:v>
                </c:pt>
                <c:pt idx="144">
                  <c:v>SERGIO DOS SANTOS MARQUES</c:v>
                </c:pt>
                <c:pt idx="145">
                  <c:v>DANIELLE ROSA DE CAMPOS</c:v>
                </c:pt>
                <c:pt idx="146">
                  <c:v>SAMARA PEREIRA BARBOSA DA SILVA</c:v>
                </c:pt>
                <c:pt idx="147">
                  <c:v>DARLENE LOURENCO SALDANHA SANTOS</c:v>
                </c:pt>
                <c:pt idx="148">
                  <c:v>LUIZA GABRIELLY RODRIGUES</c:v>
                </c:pt>
                <c:pt idx="149">
                  <c:v>KAUAN EXPEDITO MORAES PENHA</c:v>
                </c:pt>
                <c:pt idx="150">
                  <c:v>GABRIEL HENRIQUE REIS JULIAO</c:v>
                </c:pt>
                <c:pt idx="151">
                  <c:v>ANA LAURA VENANCIO RUBINIT DAS CHAGAS</c:v>
                </c:pt>
                <c:pt idx="152">
                  <c:v>RAPHAEL MORAES DE LIMA</c:v>
                </c:pt>
                <c:pt idx="153">
                  <c:v>MADSON MATHIAS CARRARA</c:v>
                </c:pt>
                <c:pt idx="154">
                  <c:v>SIMONE CARNEIRO DA SILVA</c:v>
                </c:pt>
                <c:pt idx="155">
                  <c:v>LUAN MORAES LUCCHESI SOUZA</c:v>
                </c:pt>
                <c:pt idx="156">
                  <c:v>ALEXANDRE KENJI DODA</c:v>
                </c:pt>
                <c:pt idx="157">
                  <c:v>JOAO VICTOR MARTINEZ MARTINHO</c:v>
                </c:pt>
                <c:pt idx="158">
                  <c:v>MILENE DIAS TARDELLI</c:v>
                </c:pt>
                <c:pt idx="159">
                  <c:v>JOÃO VICTOR SILVA</c:v>
                </c:pt>
                <c:pt idx="160">
                  <c:v>NIVIA TANAKA DODA</c:v>
                </c:pt>
                <c:pt idx="161">
                  <c:v>ALEXANDRE PEREIRA DUARTE</c:v>
                </c:pt>
                <c:pt idx="162">
                  <c:v>JULYA KAMYLY PIRES</c:v>
                </c:pt>
                <c:pt idx="163">
                  <c:v>VANIA LUCIA ROSA DODA</c:v>
                </c:pt>
                <c:pt idx="164">
                  <c:v>CRISTIANO AKIRA TANAKA</c:v>
                </c:pt>
                <c:pt idx="165">
                  <c:v>LUIS ROBERTO DE OLIVEIRA</c:v>
                </c:pt>
                <c:pt idx="166">
                  <c:v>PAULO MARTINS</c:v>
                </c:pt>
                <c:pt idx="167">
                  <c:v>PRISCILA APARECIDA DIAS</c:v>
                </c:pt>
                <c:pt idx="168">
                  <c:v>ARTHUR FERNANDO DODA</c:v>
                </c:pt>
                <c:pt idx="169">
                  <c:v>CARMEN LUCIA VIANA</c:v>
                </c:pt>
                <c:pt idx="170">
                  <c:v>BRUNA FERNANDA DE OLIVEIRA LUCENA</c:v>
                </c:pt>
                <c:pt idx="171">
                  <c:v>VIVIANE MARIA DIAS DE LIMA</c:v>
                </c:pt>
                <c:pt idx="172">
                  <c:v>MARGARENE BARROS BORGES</c:v>
                </c:pt>
                <c:pt idx="173">
                  <c:v>LUCAS KAUÃ PORTO DE PONTES</c:v>
                </c:pt>
              </c:strCache>
            </c:strRef>
          </c:cat>
          <c:val>
            <c:numRef>
              <c:f>Plan1!$X$2:$X$176</c:f>
              <c:numCache>
                <c:formatCode>_("R$"* #,##0.00_);_("R$"* \(#,##0.00\);_("R$"* "-"??_);_(@_)</c:formatCode>
                <c:ptCount val="174"/>
                <c:pt idx="0">
                  <c:v>970.06</c:v>
                </c:pt>
                <c:pt idx="1">
                  <c:v>936.64</c:v>
                </c:pt>
                <c:pt idx="2">
                  <c:v>836.4</c:v>
                </c:pt>
                <c:pt idx="3">
                  <c:v>816.31</c:v>
                </c:pt>
                <c:pt idx="4">
                  <c:v>798.91</c:v>
                </c:pt>
                <c:pt idx="5">
                  <c:v>780.8</c:v>
                </c:pt>
                <c:pt idx="6">
                  <c:v>770.78</c:v>
                </c:pt>
                <c:pt idx="7">
                  <c:v>743.01</c:v>
                </c:pt>
                <c:pt idx="8">
                  <c:v>644.12</c:v>
                </c:pt>
                <c:pt idx="9">
                  <c:v>643.36</c:v>
                </c:pt>
                <c:pt idx="10">
                  <c:v>642.24</c:v>
                </c:pt>
                <c:pt idx="11">
                  <c:v>630</c:v>
                </c:pt>
                <c:pt idx="12">
                  <c:v>622.9</c:v>
                </c:pt>
                <c:pt idx="13">
                  <c:v>595.67999999999995</c:v>
                </c:pt>
                <c:pt idx="14">
                  <c:v>582.01</c:v>
                </c:pt>
                <c:pt idx="15">
                  <c:v>568.89</c:v>
                </c:pt>
                <c:pt idx="16">
                  <c:v>558</c:v>
                </c:pt>
                <c:pt idx="17">
                  <c:v>553.9</c:v>
                </c:pt>
                <c:pt idx="18">
                  <c:v>534.51</c:v>
                </c:pt>
                <c:pt idx="19">
                  <c:v>532.30999999999995</c:v>
                </c:pt>
                <c:pt idx="20">
                  <c:v>512.36</c:v>
                </c:pt>
                <c:pt idx="21">
                  <c:v>502.84</c:v>
                </c:pt>
                <c:pt idx="22">
                  <c:v>502.78</c:v>
                </c:pt>
                <c:pt idx="23">
                  <c:v>502.66</c:v>
                </c:pt>
                <c:pt idx="24">
                  <c:v>476.1</c:v>
                </c:pt>
                <c:pt idx="25">
                  <c:v>464.95</c:v>
                </c:pt>
                <c:pt idx="26">
                  <c:v>454.94</c:v>
                </c:pt>
                <c:pt idx="27">
                  <c:v>446.98</c:v>
                </c:pt>
                <c:pt idx="28">
                  <c:v>432.06</c:v>
                </c:pt>
                <c:pt idx="29">
                  <c:v>423.95</c:v>
                </c:pt>
                <c:pt idx="30">
                  <c:v>419.09</c:v>
                </c:pt>
                <c:pt idx="31">
                  <c:v>412.3</c:v>
                </c:pt>
                <c:pt idx="32">
                  <c:v>412.16</c:v>
                </c:pt>
                <c:pt idx="33">
                  <c:v>410.03</c:v>
                </c:pt>
                <c:pt idx="34">
                  <c:v>408.34</c:v>
                </c:pt>
                <c:pt idx="35">
                  <c:v>406.81</c:v>
                </c:pt>
                <c:pt idx="36">
                  <c:v>400.75</c:v>
                </c:pt>
                <c:pt idx="37">
                  <c:v>391.95</c:v>
                </c:pt>
                <c:pt idx="38">
                  <c:v>390.99</c:v>
                </c:pt>
                <c:pt idx="39">
                  <c:v>377.09</c:v>
                </c:pt>
                <c:pt idx="40">
                  <c:v>375.6</c:v>
                </c:pt>
                <c:pt idx="41">
                  <c:v>373.94</c:v>
                </c:pt>
                <c:pt idx="42">
                  <c:v>373.3</c:v>
                </c:pt>
                <c:pt idx="43">
                  <c:v>369.13</c:v>
                </c:pt>
                <c:pt idx="44">
                  <c:v>367.23</c:v>
                </c:pt>
                <c:pt idx="45">
                  <c:v>367.08</c:v>
                </c:pt>
                <c:pt idx="46">
                  <c:v>363.74</c:v>
                </c:pt>
                <c:pt idx="47">
                  <c:v>354.8</c:v>
                </c:pt>
                <c:pt idx="48">
                  <c:v>347.96</c:v>
                </c:pt>
                <c:pt idx="49">
                  <c:v>347.88</c:v>
                </c:pt>
                <c:pt idx="50">
                  <c:v>347.63</c:v>
                </c:pt>
                <c:pt idx="51">
                  <c:v>345.61</c:v>
                </c:pt>
                <c:pt idx="52">
                  <c:v>344.1</c:v>
                </c:pt>
                <c:pt idx="53">
                  <c:v>333.11</c:v>
                </c:pt>
                <c:pt idx="54">
                  <c:v>329.38</c:v>
                </c:pt>
                <c:pt idx="55">
                  <c:v>325.18</c:v>
                </c:pt>
                <c:pt idx="56">
                  <c:v>318.58999999999997</c:v>
                </c:pt>
                <c:pt idx="57">
                  <c:v>309.05</c:v>
                </c:pt>
                <c:pt idx="58">
                  <c:v>299.88</c:v>
                </c:pt>
                <c:pt idx="59">
                  <c:v>297.69</c:v>
                </c:pt>
                <c:pt idx="60">
                  <c:v>296.79000000000002</c:v>
                </c:pt>
                <c:pt idx="61">
                  <c:v>293.95999999999998</c:v>
                </c:pt>
                <c:pt idx="62">
                  <c:v>282.11</c:v>
                </c:pt>
                <c:pt idx="63">
                  <c:v>280.35000000000002</c:v>
                </c:pt>
                <c:pt idx="64">
                  <c:v>279.95999999999998</c:v>
                </c:pt>
                <c:pt idx="65">
                  <c:v>276.05</c:v>
                </c:pt>
                <c:pt idx="66">
                  <c:v>274.14</c:v>
                </c:pt>
                <c:pt idx="67">
                  <c:v>273.83999999999997</c:v>
                </c:pt>
                <c:pt idx="68">
                  <c:v>272.77999999999997</c:v>
                </c:pt>
                <c:pt idx="69">
                  <c:v>263.83999999999997</c:v>
                </c:pt>
                <c:pt idx="70">
                  <c:v>258.39999999999998</c:v>
                </c:pt>
                <c:pt idx="71">
                  <c:v>257.18</c:v>
                </c:pt>
                <c:pt idx="72">
                  <c:v>254.9</c:v>
                </c:pt>
                <c:pt idx="73">
                  <c:v>242.55</c:v>
                </c:pt>
                <c:pt idx="74">
                  <c:v>232.93</c:v>
                </c:pt>
                <c:pt idx="75">
                  <c:v>232</c:v>
                </c:pt>
                <c:pt idx="76">
                  <c:v>231.96</c:v>
                </c:pt>
                <c:pt idx="77">
                  <c:v>227.51</c:v>
                </c:pt>
                <c:pt idx="78">
                  <c:v>227.39</c:v>
                </c:pt>
                <c:pt idx="79">
                  <c:v>227.33</c:v>
                </c:pt>
                <c:pt idx="80">
                  <c:v>222.86</c:v>
                </c:pt>
                <c:pt idx="81">
                  <c:v>221.16</c:v>
                </c:pt>
                <c:pt idx="82">
                  <c:v>215.15</c:v>
                </c:pt>
                <c:pt idx="83">
                  <c:v>214.65</c:v>
                </c:pt>
                <c:pt idx="84">
                  <c:v>213.29</c:v>
                </c:pt>
                <c:pt idx="85">
                  <c:v>213.09</c:v>
                </c:pt>
                <c:pt idx="86">
                  <c:v>210.2</c:v>
                </c:pt>
                <c:pt idx="87">
                  <c:v>207.21</c:v>
                </c:pt>
                <c:pt idx="88">
                  <c:v>204.68</c:v>
                </c:pt>
                <c:pt idx="89">
                  <c:v>201.6</c:v>
                </c:pt>
                <c:pt idx="90">
                  <c:v>201.31</c:v>
                </c:pt>
                <c:pt idx="91">
                  <c:v>198.84</c:v>
                </c:pt>
                <c:pt idx="92">
                  <c:v>198.3</c:v>
                </c:pt>
                <c:pt idx="93">
                  <c:v>198.23</c:v>
                </c:pt>
                <c:pt idx="94">
                  <c:v>197.86</c:v>
                </c:pt>
                <c:pt idx="95">
                  <c:v>192.65</c:v>
                </c:pt>
                <c:pt idx="96">
                  <c:v>190.64</c:v>
                </c:pt>
                <c:pt idx="97">
                  <c:v>189.64</c:v>
                </c:pt>
                <c:pt idx="98">
                  <c:v>189.56</c:v>
                </c:pt>
                <c:pt idx="99">
                  <c:v>189.28</c:v>
                </c:pt>
                <c:pt idx="100">
                  <c:v>185.68</c:v>
                </c:pt>
                <c:pt idx="101">
                  <c:v>182.65</c:v>
                </c:pt>
                <c:pt idx="102">
                  <c:v>180.8</c:v>
                </c:pt>
                <c:pt idx="103">
                  <c:v>179.95</c:v>
                </c:pt>
                <c:pt idx="104">
                  <c:v>178.55</c:v>
                </c:pt>
                <c:pt idx="105">
                  <c:v>171.94</c:v>
                </c:pt>
                <c:pt idx="106">
                  <c:v>162.28</c:v>
                </c:pt>
                <c:pt idx="107">
                  <c:v>159.86000000000001</c:v>
                </c:pt>
                <c:pt idx="108">
                  <c:v>158</c:v>
                </c:pt>
                <c:pt idx="109">
                  <c:v>157.83000000000001</c:v>
                </c:pt>
                <c:pt idx="110">
                  <c:v>155.51</c:v>
                </c:pt>
                <c:pt idx="111">
                  <c:v>151.34</c:v>
                </c:pt>
                <c:pt idx="112">
                  <c:v>148.41</c:v>
                </c:pt>
                <c:pt idx="113">
                  <c:v>145.44</c:v>
                </c:pt>
                <c:pt idx="114">
                  <c:v>136.81</c:v>
                </c:pt>
                <c:pt idx="115">
                  <c:v>134.21</c:v>
                </c:pt>
                <c:pt idx="116">
                  <c:v>133.38</c:v>
                </c:pt>
                <c:pt idx="117">
                  <c:v>124.43</c:v>
                </c:pt>
                <c:pt idx="118">
                  <c:v>59.25</c:v>
                </c:pt>
                <c:pt idx="119">
                  <c:v>57.45</c:v>
                </c:pt>
                <c:pt idx="120">
                  <c:v>56.88</c:v>
                </c:pt>
                <c:pt idx="121">
                  <c:v>49.01</c:v>
                </c:pt>
                <c:pt idx="122">
                  <c:v>30.42</c:v>
                </c:pt>
                <c:pt idx="123">
                  <c:v>24.02</c:v>
                </c:pt>
                <c:pt idx="124">
                  <c:v>22.09</c:v>
                </c:pt>
                <c:pt idx="125">
                  <c:v>18.190000000000001</c:v>
                </c:pt>
                <c:pt idx="126">
                  <c:v>14.73</c:v>
                </c:pt>
                <c:pt idx="127">
                  <c:v>13.6</c:v>
                </c:pt>
                <c:pt idx="128">
                  <c:v>12.15</c:v>
                </c:pt>
                <c:pt idx="129">
                  <c:v>11.59</c:v>
                </c:pt>
                <c:pt idx="130">
                  <c:v>10.59</c:v>
                </c:pt>
                <c:pt idx="131">
                  <c:v>8.5399999999999991</c:v>
                </c:pt>
                <c:pt idx="132">
                  <c:v>4.17</c:v>
                </c:pt>
                <c:pt idx="133">
                  <c:v>4.0999999999999996</c:v>
                </c:pt>
                <c:pt idx="134">
                  <c:v>3.48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7">
                  <c:v>0</c:v>
                </c:pt>
                <c:pt idx="148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60">
                  <c:v>0</c:v>
                </c:pt>
                <c:pt idx="163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0-433B-9A57-242A8D9E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1327472"/>
        <c:axId val="951311152"/>
      </c:barChart>
      <c:catAx>
        <c:axId val="95132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51311152"/>
        <c:crosses val="autoZero"/>
        <c:auto val="1"/>
        <c:lblAlgn val="ctr"/>
        <c:lblOffset val="100"/>
        <c:noMultiLvlLbl val="0"/>
      </c:catAx>
      <c:valAx>
        <c:axId val="95131115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513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[DADOS.xlsm]Plan1!Tabela dinâmica4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rPr>
              <a:t>Departamento Sobre 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5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shade val="6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222222222222222"/>
              <c:y val="-0.1141339869281046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44444444444444"/>
              <c:y val="5.18790849673202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tint val="65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4444444444444446"/>
              <c:y val="-0.119321895424836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Plan1!$AD$1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FD4-4BE5-84CF-175E8D009A4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FD4-4BE5-84CF-175E8D009A45}"/>
              </c:ext>
            </c:extLst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FD4-4BE5-84CF-175E8D009A45}"/>
              </c:ext>
            </c:extLst>
          </c:dPt>
          <c:dLbls>
            <c:dLbl>
              <c:idx val="0"/>
              <c:layout>
                <c:manualLayout>
                  <c:x val="0.12222222222222222"/>
                  <c:y val="-0.1141339869281046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D4-4BE5-84CF-175E8D009A45}"/>
                </c:ext>
              </c:extLst>
            </c:dLbl>
            <c:dLbl>
              <c:idx val="1"/>
              <c:layout>
                <c:manualLayout>
                  <c:x val="0.21944444444444444"/>
                  <c:y val="5.18790849673202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D4-4BE5-84CF-175E8D009A45}"/>
                </c:ext>
              </c:extLst>
            </c:dLbl>
            <c:dLbl>
              <c:idx val="2"/>
              <c:layout>
                <c:manualLayout>
                  <c:x val="-0.14444444444444446"/>
                  <c:y val="-0.119321895424836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D4-4BE5-84CF-175E8D009A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8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Plan1!$AC$2:$AC$5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Plan1!$AD$2:$AD$5</c:f>
              <c:numCache>
                <c:formatCode>0.00%</c:formatCode>
                <c:ptCount val="3"/>
                <c:pt idx="0">
                  <c:v>0.11336591607196725</c:v>
                </c:pt>
                <c:pt idx="1">
                  <c:v>0.10105543311710838</c:v>
                </c:pt>
                <c:pt idx="2">
                  <c:v>0.11503069039675408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D4-4BE5-84CF-175E8D009A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[DADOS.xlsm]Plan1!Tabela dinâmica8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rPr>
              <a:t>Departamento Sobre Folha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4503441494591937"/>
                  <c:h val="0.1229580986171195"/>
                </c:manualLayout>
              </c15:layout>
            </c:ext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none" lIns="38100" tIns="19050" rIns="38100" bIns="19050" anchor="ctr" anchorCtr="0">
              <a:no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875122910521142"/>
                  <c:h val="0.1229580986171195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Plan1!$AH$1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383C-41FC-8A54-D32DE892A48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3C-41FC-8A54-D32DE892A48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83C-41FC-8A54-D32DE892A48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3C-41FC-8A54-D32DE892A48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83C-41FC-8A54-D32DE892A48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3C-41FC-8A54-D32DE892A48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83C-41FC-8A54-D32DE892A48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3C-41FC-8A54-D32DE892A48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83C-41FC-8A54-D32DE892A48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83C-41FC-8A54-D32DE892A48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383C-41FC-8A54-D32DE892A48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83C-41FC-8A54-D32DE892A48E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83C-41FC-8A54-D32DE892A48E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83C-41FC-8A54-D32DE892A48E}"/>
                </c:ext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83C-41FC-8A54-D32DE892A48E}"/>
                </c:ext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503441494591937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83C-41FC-8A54-D32DE892A48E}"/>
                </c:ext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83C-41FC-8A54-D32DE892A48E}"/>
                </c:ext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383C-41FC-8A54-D32DE892A48E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383C-41FC-8A54-D32DE892A48E}"/>
                </c:ext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875122910521142"/>
                      <c:h val="0.122958098617119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383C-41FC-8A54-D32DE892A48E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0">
                <a:no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Plan1!$AG$2:$AG$12</c:f>
              <c:strCache>
                <c:ptCount val="10"/>
                <c:pt idx="0">
                  <c:v>FRENTE</c:v>
                </c:pt>
                <c:pt idx="1">
                  <c:v>LOJA</c:v>
                </c:pt>
                <c:pt idx="2">
                  <c:v>ACOUGUE</c:v>
                </c:pt>
                <c:pt idx="3">
                  <c:v>PADARIA</c:v>
                </c:pt>
                <c:pt idx="4">
                  <c:v>ADM</c:v>
                </c:pt>
                <c:pt idx="5">
                  <c:v>HORTIFRUTI</c:v>
                </c:pt>
                <c:pt idx="6">
                  <c:v>ROTISSERIA</c:v>
                </c:pt>
                <c:pt idx="7">
                  <c:v>SOCIO</c:v>
                </c:pt>
                <c:pt idx="8">
                  <c:v>ESTOQUE</c:v>
                </c:pt>
                <c:pt idx="9">
                  <c:v>SERVICOS</c:v>
                </c:pt>
              </c:strCache>
            </c:strRef>
          </c:cat>
          <c:val>
            <c:numRef>
              <c:f>Plan1!$AH$2:$AH$12</c:f>
              <c:numCache>
                <c:formatCode>General</c:formatCode>
                <c:ptCount val="10"/>
                <c:pt idx="0">
                  <c:v>0.29008242073994928</c:v>
                </c:pt>
                <c:pt idx="1">
                  <c:v>0.2348989782384133</c:v>
                </c:pt>
                <c:pt idx="2">
                  <c:v>0.12834834024097377</c:v>
                </c:pt>
                <c:pt idx="3">
                  <c:v>0.10733473027532801</c:v>
                </c:pt>
                <c:pt idx="4">
                  <c:v>8.8246261350951191E-2</c:v>
                </c:pt>
                <c:pt idx="5">
                  <c:v>3.8950612606003146E-2</c:v>
                </c:pt>
                <c:pt idx="6">
                  <c:v>3.6778588629746388E-2</c:v>
                </c:pt>
                <c:pt idx="7">
                  <c:v>3.4282972025524626E-2</c:v>
                </c:pt>
                <c:pt idx="8">
                  <c:v>2.6776225746238606E-2</c:v>
                </c:pt>
                <c:pt idx="9">
                  <c:v>1.4300870146871919E-2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7-418D-807E-64D5192FE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840383"/>
        <c:axId val="521838943"/>
      </c:barChart>
      <c:catAx>
        <c:axId val="521840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838943"/>
        <c:crosses val="autoZero"/>
        <c:auto val="1"/>
        <c:lblAlgn val="ctr"/>
        <c:lblOffset val="100"/>
        <c:noMultiLvlLbl val="0"/>
      </c:catAx>
      <c:valAx>
        <c:axId val="5218389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21840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AE3F3">
        <a:alpha val="50196"/>
      </a:srgbClr>
    </a:solidFill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[DADOS.xlsm]FOLHA-ADM!Tabela dinâmica5</c:name>
    <c:fmtId val="57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- 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129435282358822"/>
                  <c:h val="9.9162333911034087E-2"/>
                </c:manualLayout>
              </c15:layout>
            </c:ext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37931034482759"/>
                  <c:h val="9.9162333911034087E-2"/>
                </c:manualLayout>
              </c15:layout>
            </c:ext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1879060469765119"/>
                  <c:h val="9.9162333911034087E-2"/>
                </c:manualLayout>
              </c15:layout>
            </c:ext>
          </c:extLst>
        </c:dLbl>
      </c:pivotFmt>
      <c:pivotFmt>
        <c:idx val="1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- </c:separator>
          <c:extLst>
            <c:ext xmlns:c15="http://schemas.microsoft.com/office/drawing/2012/chart" uri="{CE6537A1-D6FC-4f65-9D91-7224C49458BB}">
              <c15:layout>
                <c:manualLayout>
                  <c:w val="0.39154182751144112"/>
                  <c:h val="0.12411424439624005"/>
                </c:manualLayout>
              </c15:layout>
            </c:ext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- </c:separator>
          <c:extLst>
            <c:ext xmlns:c15="http://schemas.microsoft.com/office/drawing/2012/chart" uri="{CE6537A1-D6FC-4f65-9D91-7224C49458BB}">
              <c15:layout>
                <c:manualLayout>
                  <c:w val="0.34236641521758804"/>
                  <c:h val="0.12411424439624005"/>
                </c:manualLayout>
              </c15:layout>
            </c:ext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1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- </c:separator>
          <c:extLst>
            <c:ext xmlns:c15="http://schemas.microsoft.com/office/drawing/2012/chart" uri="{CE6537A1-D6FC-4f65-9D91-7224C49458BB}">
              <c15:layout>
                <c:manualLayout>
                  <c:w val="0.35182408795602205"/>
                  <c:h val="0.12411424439624005"/>
                </c:manualLayout>
              </c15:layout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'FOLHA-ADM'!$AK$3</c:f>
              <c:strCache>
                <c:ptCount val="1"/>
                <c:pt idx="0">
                  <c:v>VENDA DO SETOR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1-46CE-8F69-DC7102FFA19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051-46CE-8F69-DC7102FFA19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1-46CE-8F69-DC7102FFA19F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-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182408795602205"/>
                      <c:h val="0.12411424439624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3051-46CE-8F69-DC7102FFA1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-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236641521758804"/>
                      <c:h val="0.12411424439624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3051-46CE-8F69-DC7102FFA1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- </c:separator>
              <c:extLst>
                <c:ext xmlns:c15="http://schemas.microsoft.com/office/drawing/2012/chart" uri="{CE6537A1-D6FC-4f65-9D91-7224C49458BB}">
                  <c15:layout>
                    <c:manualLayout>
                      <c:w val="0.39154182751144112"/>
                      <c:h val="0.12411424439624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051-46CE-8F69-DC7102FFA1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-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'FOLHA-ADM'!$AI$4:$AI$7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'FOLHA-ADM'!$AK$4:$AK$7</c:f>
              <c:numCache>
                <c:formatCode>_("R$"* #,##0.00_);_("R$"* \(#,##0.00\);_("R$"* "-"??_);_(@_)</c:formatCode>
                <c:ptCount val="3"/>
                <c:pt idx="0">
                  <c:v>31801154.850000001</c:v>
                </c:pt>
                <c:pt idx="1">
                  <c:v>25803199.930000007</c:v>
                </c:pt>
                <c:pt idx="2">
                  <c:v>45428087.179999985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8-47B1-A657-D1E417EBAF90}"/>
            </c:ext>
          </c:extLst>
        </c:ser>
        <c:ser>
          <c:idx val="2"/>
          <c:order val="2"/>
          <c:tx>
            <c:strRef>
              <c:f>'FOLHA-ADM'!$AL$3</c:f>
              <c:strCache>
                <c:ptCount val="1"/>
                <c:pt idx="0">
                  <c:v>VENDA POR FUNCIONÁRIO </c:v>
                </c:pt>
              </c:strCache>
            </c:strRef>
          </c:tx>
          <c:spPr>
            <a:solidFill>
              <a:schemeClr val="accent5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'FOLHA-ADM'!$AI$4:$AI$7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'FOLHA-ADM'!$AL$4:$AL$7</c:f>
              <c:numCache>
                <c:formatCode>_("R$"* #,##0.00_);_("R$"* \(#,##0.00\);_("R$"* "-"??_);_(@_)</c:formatCode>
                <c:ptCount val="3"/>
                <c:pt idx="0">
                  <c:v>13431762.818952378</c:v>
                </c:pt>
                <c:pt idx="1">
                  <c:v>8609117.1719154567</c:v>
                </c:pt>
                <c:pt idx="2">
                  <c:v>19431827.503786653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8-47B1-A657-D1E417EBAF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55814288"/>
        <c:axId val="655809488"/>
      </c:barChart>
      <c:barChart>
        <c:barDir val="bar"/>
        <c:grouping val="clustered"/>
        <c:varyColors val="0"/>
        <c:ser>
          <c:idx val="0"/>
          <c:order val="0"/>
          <c:tx>
            <c:strRef>
              <c:f>'FOLHA-ADM'!$AJ$3</c:f>
              <c:strCache>
                <c:ptCount val="1"/>
                <c:pt idx="0">
                  <c:v>QUANTIDADE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'FOLHA-ADM'!$AI$4:$AI$7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'FOLHA-ADM'!$AJ$4:$AJ$7</c:f>
              <c:numCache>
                <c:formatCode>General</c:formatCode>
                <c:ptCount val="3"/>
                <c:pt idx="0">
                  <c:v>158</c:v>
                </c:pt>
                <c:pt idx="1">
                  <c:v>130</c:v>
                </c:pt>
                <c:pt idx="2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8-47B1-A657-D1E417EBAF9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655799408"/>
        <c:axId val="655810928"/>
      </c:barChart>
      <c:catAx>
        <c:axId val="6558142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5809488"/>
        <c:crosses val="autoZero"/>
        <c:auto val="1"/>
        <c:lblAlgn val="ctr"/>
        <c:lblOffset val="100"/>
        <c:noMultiLvlLbl val="0"/>
      </c:catAx>
      <c:valAx>
        <c:axId val="655809488"/>
        <c:scaling>
          <c:orientation val="minMax"/>
        </c:scaling>
        <c:delete val="0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5814288"/>
        <c:crosses val="autoZero"/>
        <c:crossBetween val="between"/>
        <c:majorUnit val="1000000"/>
      </c:valAx>
      <c:valAx>
        <c:axId val="655810928"/>
        <c:scaling>
          <c:orientation val="minMax"/>
          <c:max val="140"/>
        </c:scaling>
        <c:delete val="0"/>
        <c:axPos val="t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5799408"/>
        <c:crosses val="max"/>
        <c:crossBetween val="between"/>
      </c:valAx>
      <c:catAx>
        <c:axId val="6557994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55810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900" b="1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49804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[DADOS.xlsm]FOLHA-ADM!Tabela dinâmica1</c:name>
    <c:fmtId val="8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rPr>
              <a:t>Custo Dep. x Faturamento Dep.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0" tIns="18000" rIns="36000" bIns="19050" anchor="ctr" anchorCtr="0">
              <a:spAutoFit/>
            </a:bodyPr>
            <a:lstStyle/>
            <a:p>
              <a:pPr algn="ctr">
                <a:defRPr lang="en-US" sz="1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Utsaah" panose="020B0604020202020204" pitchFamily="34" charset="0"/>
                  <a:ea typeface="+mn-ea"/>
                  <a:cs typeface="Utsaah" panose="020B0604020202020204" pitchFamily="34" charset="0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'FOLHA-ADM'!$AO$3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0" tIns="18000" rIns="36000" bIns="19050" anchor="ctr" anchorCtr="0">
                <a:spAutoFit/>
              </a:bodyPr>
              <a:lstStyle/>
              <a:p>
                <a:pPr algn="ctr">
                  <a:defRPr lang="en-US" sz="18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Utsaah" panose="020B0604020202020204" pitchFamily="34" charset="0"/>
                    <a:ea typeface="+mn-ea"/>
                    <a:cs typeface="Utsaah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'FOLHA-ADM'!$AN$4:$AN$7</c:f>
              <c:strCache>
                <c:ptCount val="3"/>
                <c:pt idx="0">
                  <c:v>ARTUR</c:v>
                </c:pt>
                <c:pt idx="1">
                  <c:v>NIVIA FILIAL</c:v>
                </c:pt>
                <c:pt idx="2">
                  <c:v>NIVIA MATRIZ</c:v>
                </c:pt>
              </c:strCache>
            </c:strRef>
          </c:cat>
          <c:val>
            <c:numRef>
              <c:f>'FOLHA-ADM'!$AO$4:$AO$7</c:f>
              <c:numCache>
                <c:formatCode>0.00%</c:formatCode>
                <c:ptCount val="3"/>
                <c:pt idx="0">
                  <c:v>1.7722398436734756E-2</c:v>
                </c:pt>
                <c:pt idx="1">
                  <c:v>1.664242358951485E-2</c:v>
                </c:pt>
                <c:pt idx="2">
                  <c:v>1.7482193845257132E-2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6-47F4-BBB7-6F5003C23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952713856"/>
        <c:axId val="952714336"/>
      </c:barChart>
      <c:catAx>
        <c:axId val="95271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714336"/>
        <c:crosses val="autoZero"/>
        <c:auto val="1"/>
        <c:lblAlgn val="ctr"/>
        <c:lblOffset val="100"/>
        <c:noMultiLvlLbl val="0"/>
      </c:catAx>
      <c:valAx>
        <c:axId val="95271433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95271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49804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8.xml"/><Relationship Id="rId2" Type="http://schemas.openxmlformats.org/officeDocument/2006/relationships/hyperlink" Target="https://pngtree.com/freebackground/blue-geometric-business-card-background_1087274.html" TargetMode="External"/><Relationship Id="rId1" Type="http://schemas.openxmlformats.org/officeDocument/2006/relationships/image" Target="../media/image1.jpg"/><Relationship Id="rId6" Type="http://schemas.openxmlformats.org/officeDocument/2006/relationships/chart" Target="../charts/chart4.xml"/><Relationship Id="rId11" Type="http://schemas.openxmlformats.org/officeDocument/2006/relationships/chart" Target="../charts/chart7.xml"/><Relationship Id="rId5" Type="http://schemas.openxmlformats.org/officeDocument/2006/relationships/chart" Target="../charts/chart3.xml"/><Relationship Id="rId10" Type="http://schemas.openxmlformats.org/officeDocument/2006/relationships/chart" Target="../charts/chart6.xml"/><Relationship Id="rId4" Type="http://schemas.openxmlformats.org/officeDocument/2006/relationships/chart" Target="../charts/chart2.xml"/><Relationship Id="rId9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586740</xdr:colOff>
      <xdr:row>42</xdr:row>
      <xdr:rowOff>68580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3048881-BF3F-B21E-A034-81FF94037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0"/>
          <a:ext cx="15217140" cy="7749540"/>
        </a:xfrm>
        <a:prstGeom prst="rect">
          <a:avLst/>
        </a:prstGeom>
      </xdr:spPr>
    </xdr:pic>
    <xdr:clientData/>
  </xdr:twoCellAnchor>
  <xdr:twoCellAnchor>
    <xdr:from>
      <xdr:col>0</xdr:col>
      <xdr:colOff>297180</xdr:colOff>
      <xdr:row>0</xdr:row>
      <xdr:rowOff>30480</xdr:rowOff>
    </xdr:from>
    <xdr:to>
      <xdr:col>24</xdr:col>
      <xdr:colOff>152400</xdr:colOff>
      <xdr:row>39</xdr:row>
      <xdr:rowOff>129540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201449A-200B-0DCE-6056-64BEF734539B}"/>
            </a:ext>
          </a:extLst>
        </xdr:cNvPr>
        <xdr:cNvSpPr/>
      </xdr:nvSpPr>
      <xdr:spPr>
        <a:xfrm>
          <a:off x="297180" y="30480"/>
          <a:ext cx="14485620" cy="7231380"/>
        </a:xfrm>
        <a:prstGeom prst="rect">
          <a:avLst/>
        </a:prstGeom>
        <a:solidFill>
          <a:srgbClr val="FFFFFF">
            <a:alpha val="49804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236220</xdr:colOff>
      <xdr:row>26</xdr:row>
      <xdr:rowOff>152400</xdr:rowOff>
    </xdr:from>
    <xdr:to>
      <xdr:col>7</xdr:col>
      <xdr:colOff>579120</xdr:colOff>
      <xdr:row>39</xdr:row>
      <xdr:rowOff>99060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B4039E7-B900-44C0-990F-4BB45CC5A3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228600</xdr:colOff>
      <xdr:row>0</xdr:row>
      <xdr:rowOff>83820</xdr:rowOff>
    </xdr:from>
    <xdr:to>
      <xdr:col>6</xdr:col>
      <xdr:colOff>586740</xdr:colOff>
      <xdr:row>15</xdr:row>
      <xdr:rowOff>53340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925BBFB-321D-4290-9B75-DD8C185B9B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510540</xdr:colOff>
      <xdr:row>0</xdr:row>
      <xdr:rowOff>60960</xdr:rowOff>
    </xdr:from>
    <xdr:to>
      <xdr:col>20</xdr:col>
      <xdr:colOff>91440</xdr:colOff>
      <xdr:row>15</xdr:row>
      <xdr:rowOff>53340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A853E64-8E54-41C4-ABCF-2AA1B52E3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53340</xdr:colOff>
      <xdr:row>0</xdr:row>
      <xdr:rowOff>53341</xdr:rowOff>
    </xdr:from>
    <xdr:to>
      <xdr:col>2</xdr:col>
      <xdr:colOff>182880</xdr:colOff>
      <xdr:row>6</xdr:row>
      <xdr:rowOff>15241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EMPRESA">
              <a:extLst>
                <a:ext uri="{FF2B5EF4-FFF2-40B4-BE49-F238E27FC236}">
                  <a16:creationId xmlns:a16="http://schemas.microsoft.com/office/drawing/2014/main" id="{1684E65F-1F64-4EF5-ABE9-B696C29C62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" y="53341"/>
              <a:ext cx="1348740" cy="10591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30480</xdr:colOff>
      <xdr:row>20</xdr:row>
      <xdr:rowOff>7620</xdr:rowOff>
    </xdr:from>
    <xdr:to>
      <xdr:col>2</xdr:col>
      <xdr:colOff>182880</xdr:colOff>
      <xdr:row>33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UNCAO">
              <a:extLst>
                <a:ext uri="{FF2B5EF4-FFF2-40B4-BE49-F238E27FC236}">
                  <a16:creationId xmlns:a16="http://schemas.microsoft.com/office/drawing/2014/main" id="{A0E2FEE5-DA41-47DF-A15F-126EFBB5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NCA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" y="3665220"/>
              <a:ext cx="1828800" cy="3444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30480</xdr:colOff>
      <xdr:row>6</xdr:row>
      <xdr:rowOff>76200</xdr:rowOff>
    </xdr:from>
    <xdr:to>
      <xdr:col>2</xdr:col>
      <xdr:colOff>175260</xdr:colOff>
      <xdr:row>19</xdr:row>
      <xdr:rowOff>165735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PARTAMENTO">
              <a:extLst>
                <a:ext uri="{FF2B5EF4-FFF2-40B4-BE49-F238E27FC236}">
                  <a16:creationId xmlns:a16="http://schemas.microsoft.com/office/drawing/2014/main" id="{02FD0364-8C5D-4824-8D8A-BA90F93408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80" y="117348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20</xdr:col>
      <xdr:colOff>152400</xdr:colOff>
      <xdr:row>0</xdr:row>
      <xdr:rowOff>78180</xdr:rowOff>
    </xdr:from>
    <xdr:to>
      <xdr:col>23</xdr:col>
      <xdr:colOff>563880</xdr:colOff>
      <xdr:row>15</xdr:row>
      <xdr:rowOff>53340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190DB2F-9167-43E0-AF39-739E39722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22860</xdr:colOff>
      <xdr:row>0</xdr:row>
      <xdr:rowOff>83820</xdr:rowOff>
    </xdr:from>
    <xdr:to>
      <xdr:col>12</xdr:col>
      <xdr:colOff>457200</xdr:colOff>
      <xdr:row>15</xdr:row>
      <xdr:rowOff>53340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CACB635-A3AA-47EE-9199-BE5487A5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182880</xdr:colOff>
          <xdr:row>0</xdr:row>
          <xdr:rowOff>114300</xdr:rowOff>
        </xdr:from>
        <xdr:to>
          <xdr:col>22</xdr:col>
          <xdr:colOff>533400</xdr:colOff>
          <xdr:row>3</xdr:row>
          <xdr:rowOff>53340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356137ED-9B62-D93C-6373-8B29AFD76F7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1!$Z$1:$Z$2" spid="_x0000_s3204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12984480" y="114300"/>
              <a:ext cx="960120" cy="4876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152400</xdr:rowOff>
        </xdr:from>
        <xdr:to>
          <xdr:col>12</xdr:col>
          <xdr:colOff>60960</xdr:colOff>
          <xdr:row>39</xdr:row>
          <xdr:rowOff>114300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B4601A12-7CE3-D492-DC0D-476E48F66B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lan1!$T$1:$U$7" spid="_x0000_s320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4876800" y="4907280"/>
              <a:ext cx="2499360" cy="233934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228600</xdr:colOff>
      <xdr:row>15</xdr:row>
      <xdr:rowOff>83820</xdr:rowOff>
    </xdr:from>
    <xdr:to>
      <xdr:col>11</xdr:col>
      <xdr:colOff>495300</xdr:colOff>
      <xdr:row>26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178328A2-16E9-4862-8283-4C5985D82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358140</xdr:colOff>
      <xdr:row>15</xdr:row>
      <xdr:rowOff>83820</xdr:rowOff>
    </xdr:from>
    <xdr:to>
      <xdr:col>23</xdr:col>
      <xdr:colOff>563880</xdr:colOff>
      <xdr:row>34</xdr:row>
      <xdr:rowOff>121920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591E3E7-A48C-495A-BA84-FBA913E8F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365760</xdr:colOff>
      <xdr:row>35</xdr:row>
      <xdr:rowOff>15241</xdr:rowOff>
    </xdr:from>
    <xdr:to>
      <xdr:col>19</xdr:col>
      <xdr:colOff>342900</xdr:colOff>
      <xdr:row>39</xdr:row>
      <xdr:rowOff>160020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EPARTAMENTO 1">
              <a:extLst>
                <a:ext uri="{FF2B5EF4-FFF2-40B4-BE49-F238E27FC236}">
                  <a16:creationId xmlns:a16="http://schemas.microsoft.com/office/drawing/2014/main" id="{3D56F63D-F424-4D29-93FF-58FA188548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9760" y="6416041"/>
              <a:ext cx="5074920" cy="876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175260</xdr:colOff>
      <xdr:row>15</xdr:row>
      <xdr:rowOff>83820</xdr:rowOff>
    </xdr:from>
    <xdr:to>
      <xdr:col>15</xdr:col>
      <xdr:colOff>304800</xdr:colOff>
      <xdr:row>39</xdr:row>
      <xdr:rowOff>114300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C86C1B85-E6DB-4D8E-B0EC-4B7A731F8C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99060</xdr:colOff>
      <xdr:row>15</xdr:row>
      <xdr:rowOff>121920</xdr:rowOff>
    </xdr:from>
    <xdr:to>
      <xdr:col>12</xdr:col>
      <xdr:colOff>99060</xdr:colOff>
      <xdr:row>39</xdr:row>
      <xdr:rowOff>144780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8E110C78-C6F8-1661-EA6F-FDB63735D7AC}"/>
            </a:ext>
          </a:extLst>
        </xdr:cNvPr>
        <xdr:cNvCxnSpPr/>
      </xdr:nvCxnSpPr>
      <xdr:spPr>
        <a:xfrm>
          <a:off x="7414260" y="2865120"/>
          <a:ext cx="0" cy="4411980"/>
        </a:xfrm>
        <a:prstGeom prst="line">
          <a:avLst/>
        </a:prstGeom>
        <a:ln w="19050">
          <a:solidFill>
            <a:schemeClr val="accent5">
              <a:lumMod val="75000"/>
            </a:schemeClr>
          </a:solidFill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45720</xdr:colOff>
      <xdr:row>33</xdr:row>
      <xdr:rowOff>175261</xdr:rowOff>
    </xdr:from>
    <xdr:to>
      <xdr:col>2</xdr:col>
      <xdr:colOff>198120</xdr:colOff>
      <xdr:row>38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ÊS ">
              <a:extLst>
                <a:ext uri="{FF2B5EF4-FFF2-40B4-BE49-F238E27FC236}">
                  <a16:creationId xmlns:a16="http://schemas.microsoft.com/office/drawing/2014/main" id="{0C43550B-F142-7024-59E2-D2B38FC200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20" y="6210301"/>
              <a:ext cx="1371600" cy="8077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449580</xdr:colOff>
      <xdr:row>35</xdr:row>
      <xdr:rowOff>0</xdr:rowOff>
    </xdr:from>
    <xdr:to>
      <xdr:col>22</xdr:col>
      <xdr:colOff>449580</xdr:colOff>
      <xdr:row>39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MÊS">
              <a:extLst>
                <a:ext uri="{FF2B5EF4-FFF2-40B4-BE49-F238E27FC236}">
                  <a16:creationId xmlns:a16="http://schemas.microsoft.com/office/drawing/2014/main" id="{92ECDC63-A3A6-424C-BA6A-2404D65936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31980" y="6400800"/>
              <a:ext cx="1828800" cy="883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Henrique Fernandes" refreshedDate="45798.512481597223" createdVersion="8" refreshedVersion="8" minRefreshableVersion="3" recordCount="90" xr:uid="{3045E9BB-316A-4A3E-A3B3-5264D5F64D8A}">
  <cacheSource type="worksheet">
    <worksheetSource name="ANALISE_37"/>
  </cacheSource>
  <cacheFields count="9">
    <cacheField name="EMPRESA" numFmtId="0">
      <sharedItems count="3">
        <s v="NIVIA FILIAL"/>
        <s v="NIVIA MATRIZ"/>
        <s v="ARTUR"/>
      </sharedItems>
    </cacheField>
    <cacheField name="MÊS" numFmtId="0">
      <sharedItems count="3">
        <s v="FEVEREIRO"/>
        <s v="MARÇO"/>
        <s v="ABRIL"/>
      </sharedItems>
    </cacheField>
    <cacheField name="ANO" numFmtId="0">
      <sharedItems containsSemiMixedTypes="0" containsString="0" containsNumber="1" containsInteger="1" minValue="2025" maxValue="2025"/>
    </cacheField>
    <cacheField name="DEPARTAMENTO" numFmtId="0">
      <sharedItems count="10">
        <s v="ADM"/>
        <s v="PADARIA"/>
        <s v="FRENTE"/>
        <s v="LOJA"/>
        <s v="ACOUGUE"/>
        <s v="ESTOQUE"/>
        <s v="SOCIO"/>
        <s v="HORTIFRUTI"/>
        <s v="ROTISSERIA"/>
        <s v="SERVICOS"/>
      </sharedItems>
    </cacheField>
    <cacheField name="FATURAMENTO" numFmtId="44">
      <sharedItems containsSemiMixedTypes="0" containsString="0" containsNumber="1" minValue="0" maxValue="2637808.56"/>
    </cacheField>
    <cacheField name="FUNCIONÁRIOS" numFmtId="0">
      <sharedItems containsSemiMixedTypes="0" containsString="0" containsNumber="1" containsInteger="1" minValue="0" maxValue="20"/>
    </cacheField>
    <cacheField name="TOTAL" numFmtId="44">
      <sharedItems containsSemiMixedTypes="0" containsString="0" containsNumber="1" minValue="0" maxValue="77950.774899999989"/>
    </cacheField>
    <cacheField name="VENDA POR FUNCIONÁRIO" numFmtId="44">
      <sharedItems containsSemiMixedTypes="0" containsString="0" containsNumber="1" minValue="0" maxValue="2637808.56"/>
    </cacheField>
    <cacheField name="PERCENTAUL" numFmtId="0" formula="TOTAL/FATURAMENTO" databaseField="0"/>
  </cacheFields>
  <extLst>
    <ext xmlns:x14="http://schemas.microsoft.com/office/spreadsheetml/2009/9/main" uri="{725AE2AE-9491-48be-B2B4-4EB974FC3084}">
      <x14:pivotCacheDefinition pivotCacheId="170915373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Henrique Fernandes" refreshedDate="45798.513006134257" createdVersion="8" refreshedVersion="8" minRefreshableVersion="3" recordCount="505" xr:uid="{83F81DCC-8DEA-4E40-B67A-EC325A037908}">
  <cacheSource type="worksheet">
    <worksheetSource name="FOLHA_ADM"/>
  </cacheSource>
  <cacheFields count="20">
    <cacheField name="FOLHA-FILIAL" numFmtId="0">
      <sharedItems/>
    </cacheField>
    <cacheField name="EMPRESA" numFmtId="0">
      <sharedItems count="3">
        <s v="NIVIA FILIAL"/>
        <s v="ARTUR"/>
        <s v="NIVIA MATRIZ"/>
      </sharedItems>
    </cacheField>
    <cacheField name="MÊS " numFmtId="0">
      <sharedItems count="3">
        <s v="FEVEREIRO"/>
        <s v="MARÇO"/>
        <s v="ABRIL"/>
      </sharedItems>
    </cacheField>
    <cacheField name="ANO " numFmtId="0">
      <sharedItems containsSemiMixedTypes="0" containsString="0" containsNumber="1" containsInteger="1" minValue="2025" maxValue="2025"/>
    </cacheField>
    <cacheField name="CÓDIGO" numFmtId="0">
      <sharedItems containsMixedTypes="1" containsNumber="1" containsInteger="1" minValue="1" maxValue="900000"/>
    </cacheField>
    <cacheField name="FUNCIONÁRIO" numFmtId="0">
      <sharedItems count="197">
        <s v="ALLISSON HENRIQUE PEREIRA"/>
        <s v="AMANDA ISABELI REIS JULIAO"/>
        <s v="ANA LAURA VENANCIO RUBINIT DAS CHAGAS"/>
        <s v="ARTHUR DE MORAIS SOARES"/>
        <s v="CARLOS KAIK MENDES DA SILVA"/>
        <s v="CARMEN LUCIA VIANA"/>
        <s v="CIRLENE BARBOSA REIS JULIAO"/>
        <s v="DANIELLE ROSA DE CAMPOS"/>
        <s v="DARLENE LOURENCO SALDANHA SANTOS"/>
        <s v="GIOVANI REGINALDO SILVA"/>
        <s v="ISAQUE MESSIAS DOS SANTOS"/>
        <s v="JOSIANE PATRICIA DE OLIVEIRA"/>
        <s v="KARINE ARAUJO SACARDO"/>
        <s v="LILIAN THAIS SILVA"/>
        <s v="LUA RIBEIRO DA SILVA"/>
        <s v="LUIZ HENRIQUE MOREIRA FIORAVANTE"/>
        <s v="LUIZA GABRIELLY RODRIGUES"/>
        <s v="MARIA JULIA MORENO BERMONTE"/>
        <s v="MARIANE DE ALCANTARA MARQUES"/>
        <s v="MILENE DIAS TARDELLI"/>
        <s v="PAULO EDUARDO COSTA MENDES"/>
        <s v="PRISCILA APARECIDA DIAS"/>
        <s v="RENATA ALVES COSTA"/>
        <s v="VICTORIA COSTAMILAN CRISPIM"/>
        <s v="VINICIUS FRANCA ARAUJO SILVA"/>
        <s v="FELIPE AUGUSTO FEIJÓ AIRES"/>
        <s v="LUCAS KAUÃ PORTO DE PONTES"/>
        <s v="KEVIN DANIEL MUNIZ BRIZOLA"/>
        <s v="GABRIEL HENRIQUE REIS JULIAO"/>
        <s v="JOÃO VITOR DA SILVA LIRA"/>
        <s v="LUIZ GUILHERME COELHO"/>
        <s v="MARCELO ROCHA MENDES FILHO"/>
        <s v="BRUNA FERNANDA DE OLIVEIRA LUCENA"/>
        <s v="KAILLANY ROCHA QUEIROZ"/>
        <s v="MURILO AUGUSTO SADUIKYS"/>
        <s v="ANA LAURA GARCIA LOPES"/>
        <s v="BEATRIZ FERNANDA ALVES DE LIMA"/>
        <s v="NATALIE CRISTINE RODRIGUES DE SOUZA"/>
        <s v="PATRIK ARRUDA SIQUEIRA"/>
        <s v="SARAH BEATRIZ DE CAMPOS CAVALCANTI"/>
        <s v="ANTONIO CARLOS DE ALMEIDA NETO"/>
        <s v="ANTONIO PEREIRA DE SOUZA"/>
        <s v="ARTHUR FERNANDO DODA"/>
        <s v="BIANCA GIOVANNA VESMA SILVA"/>
        <s v="BRUNA TAVARES"/>
        <s v="CARINA APARECIDA DE ALMEIDA"/>
        <s v="DULCINEIA MORATO FRANCA DE OLIVEIRA"/>
        <s v="EDMILSON PEREIRA"/>
        <s v="EMILLY IVONE SCOMPARIM MENDES"/>
        <s v="ERIK DE OLIVEIRA"/>
        <s v="FERNANDA GOMES DA SILVA"/>
        <s v="FRANCIELE GONCALVES DE OLIVEIRA SANTOS"/>
        <s v="GABRIELLY ALVES DOS SANTOS"/>
        <s v="GUILHERME BRANDAO NOVELI MOREIRA"/>
        <s v="HUDSON ALVES DA SILVA BRITO"/>
        <s v="ISABEL CRISTINA BORDIGNON GERALDO CRUZ"/>
        <s v="JEFERSON NETO LARA"/>
        <s v="JEFFERSON DE ALMEIDA SILVA"/>
        <s v="JENNIFER STEFANNY SILVA"/>
        <s v="JHONATAN VELOSO COSTA"/>
        <s v="JOAO VICTOR MARTINEZ MARTINHO"/>
        <s v="KAINA SAIANE DA SILVA MATOS"/>
        <s v="KARINA ARANHA SANTOS"/>
        <s v="KAUE DA SILVA"/>
        <s v="KLAYTONN FERNANDO RODRIGUES FERREIRA"/>
        <s v="LEONARDO TARRAGA CAMPOS"/>
        <s v="LILIANA ANDREIA FURQUIM MORAES"/>
        <s v="LUCAS APARECIDO DA SILVA CAMARGO"/>
        <s v="MARIA EDUARDA PORTO PACHECO DA CRUZ"/>
        <s v="MATEUS FERNANDES COSTA"/>
        <s v="MISAEL MEIRA RODRIGUES"/>
        <s v="RAPHAEL MORAES DE LIMA"/>
        <s v="SIMONE CARNEIRO DA SILVA"/>
        <s v="VITORIA APARECIDA GONCALVES ROSA"/>
        <s v="YURI GABRIEL DE SOUZA RIBEIRO"/>
        <s v="LAUREN STEFANY PEREIRA RODRIGUES"/>
        <s v="DUVAL PAULO PEREIRA DE SOUZA CRUZ"/>
        <s v="FABIO CUNHA CATANANTE"/>
        <s v="JOÃO VICTOR SILVA"/>
        <s v="LUAN MORAES LUCCHESI SOUZA"/>
        <s v="BEATRIZ LORRANE RIBEIRO"/>
        <s v="BRUNA JACOB DE OLIVEIRA LIMA"/>
        <s v="GUSTAVO DOS SANTOS SILVA"/>
        <s v="HERNANDES CESAR DA SILVA FARIA"/>
        <s v="MONIQUE CAROLINA GONCALVES MARQUES"/>
        <s v="ALANA BORTOLLI"/>
        <s v="LUCAS HENRIQUE DE ALMEIDA"/>
        <s v="LUCILENE GRAZIELE DA SILVA MESSIAS"/>
        <s v="MARIA EDUARDA NUNES DE SOUZA"/>
        <s v="ADEILTON RODRIGUES DE OLIVEIRA BARBOSA"/>
        <s v="ALEX PAULO FERRAZ"/>
        <s v="AMANDA CRISTINA ROSA DE CARVALHO"/>
        <s v="ANDERSON JUNIOR DOS SANTOS LUZ"/>
        <s v="ANDREYNA VITORIA DODA"/>
        <s v="ANGELA MARINALVA DA SILVA"/>
        <s v="ANTHONY VINICIUS CLETO NUNES"/>
        <s v="CASSIA CECILIA GONZALEZ"/>
        <s v="CLAUDIANE ANDRIELI VIEIRA DA SILVA"/>
        <s v="EDNEIDE HERMOGENES BONIFACIO DA SILVA"/>
        <s v="ELISAMA SIQUEIRA DA SILVA"/>
        <s v="FELIPE DOS SANTOS SILVA"/>
        <s v="FERNANDA CRISTINA VIEIRA"/>
        <s v="FRANCIELE SIQUEIRA COSTA DOS PASSOS"/>
        <s v="GABRIEL HENRIQUE CORREA"/>
        <s v="GEISSE CRISTINA DOS SANTOS NUNES"/>
        <s v="GIOVANA RIBEIRO DOS SANTOS"/>
        <s v="GISELE SILVA BRANDAO"/>
        <s v="HELLEN BEATRIZ GONCALVES DE CAMPOS"/>
        <s v="IANARA CAROLINE PEREIRA CAMARGO"/>
        <s v="JACKSON DA SILVA"/>
        <s v="JAEL CASSIMIRO DA SILVA FERNANDES"/>
        <s v="JOAO VITOR TRINDADE DA SILVA"/>
        <s v="JOSIANE APARECIDA FERREIRA"/>
        <s v="JULIA REGINA AGUILERA"/>
        <s v="JULYA KAMYLY PIRES"/>
        <s v="KENNEDY FERREIRA DE SOUZA"/>
        <s v="LUIZ CARLOS VIEIRA DOS SANTOS"/>
        <s v="LUIZA RHENATA OLIVEIRA LIMA"/>
        <s v="MARIA ANTONIA DA CRUZ MEIRA"/>
        <s v="MARIA ESTEFANY CAMILA ALBINO LOPES"/>
        <s v="MAYCON VINICIUS DE CAMARGO SILVA"/>
        <s v="MILENE DE FATIMA DA CONCEICAO"/>
        <s v="NIVIA TANAKA DODA"/>
        <s v="PAMELA DE OLIVEIRA ALMEIDA"/>
        <s v="PAULO BARBOSA DOS SANTOS"/>
        <s v="RENAN SILVA DE ALMEIDA"/>
        <s v="RENATA MILENA CUSTODIO"/>
        <s v="SAMARA PEREIRA BARBOSA DA SILVA"/>
        <s v="SAMUEL AUGUSTO FLORENTINO STOCCO"/>
        <s v="SEVERINO ANTONIO SALES"/>
        <s v="SUELEN FRANCINE SILVA"/>
        <s v="TEREZA SONIA ASCENCIO"/>
        <s v="THAIS DOS SANTOS DIVINO"/>
        <s v="VALERIA APARECIDA ANTUNES RAMOS"/>
        <s v="VANESSA APARECIDA BRAGA"/>
        <s v="VANESSA DE OLIVEIRA"/>
        <s v="VIVIANE MARIA DIAS DE LIMA"/>
        <s v="ADRIEL DANTAS DA SILVA"/>
        <s v="IAGO HENRIQUE RIBEIRO VIEIRA"/>
        <s v="KAUAN EXPEDITO MORAES PENHA"/>
        <s v="KELVYN HENRIQUE DE OLIVEIRA XAVIER"/>
        <s v="ALESSANDRA GOUVEIA"/>
        <s v="CLAUDIUS GUSTAVO DA CRUZ"/>
        <s v="LUIS RICARDO BATISTA"/>
        <s v="DAIANE DA SILVA RIBEIRO"/>
        <s v="DAIANE OLIVEIRA DA COSTA"/>
        <s v="EZEQUIEL ALLAN VIEIRA ALVES"/>
        <s v="LETICIA TAWANE DE AZEVEDO OLIVEIRA"/>
        <s v="ULISSES AMANTINO DE CAMARGO"/>
        <s v="ACHILEY GABRIELA VERONESE"/>
        <s v="JOCELIA ARNAUD FARIAS"/>
        <s v="MILENA LEITE DOS SANTOS"/>
        <s v="PAULO MARTINS"/>
        <s v="TATIANE EMILIA DOS SANTOS"/>
        <s v="YUDI RAMOS SOARES"/>
        <s v="ALESSANDRO CRAVO DE ALELUIA"/>
        <s v="ALESSANDRO YUICHI HONMA"/>
        <s v="ALEXANDRE DA PALMA BRANCO"/>
        <s v="ALEXANDRE KENJI DODA"/>
        <s v="BIANCA AGAPY MOREIRA LOPES"/>
        <s v="CARLO LUCIO DODA"/>
        <s v="CASSIA CRISTINE SOUZA PORTO DE PONTES"/>
        <s v="EDIO BORGES JUNIOR"/>
        <s v="EDSON JUNIOR QUEIROZ LIMA"/>
        <s v="ELAINE CRISTINA FRAGOSO CAMARGO"/>
        <s v="ESTEFANNY RAFAELA FERREIRA"/>
        <s v="GUILHERME HENRIQUE FERNANDES"/>
        <s v="GUILHERME SILVA ALBERTO"/>
        <s v="GUSTAVO AUGUSTO CASTILHO DE SOUSA GOIS"/>
        <s v="INACIO BISPO DE LIMA MORAIS"/>
        <s v="IVAN APARECIDO RODRIGUES"/>
        <s v="JONAS ALVES DE PAULA"/>
        <s v="KASILEY PRISCILA MORENO BERMONTE FARIA"/>
        <s v="LEANDRO VENANCIO DE SIQUEIRA"/>
        <s v="LUIS ROBERTO DE OLIVEIRA"/>
        <s v="LUIZ HENRIQUE DOMINGUES"/>
        <s v="MARGARENE BARROS BORGES"/>
        <s v="MARIA HELENA ARDUINO DOS SANTOS"/>
        <s v="MIRIAN APARECIDA MARQUES SANTOS"/>
        <s v="SERGIO DOS SANTOS MARQUES"/>
        <s v="SILVANA DOMINGUES RODRIGUES"/>
        <s v="TATIANE DE SOUZA"/>
        <s v="VANDRE VINICIUS DODA"/>
        <s v="VANIA LUCIA ROSA DODA"/>
        <s v="SUELI APARECIDA DE SOUZA NASCIMENTO"/>
        <s v="IGLEISSON BARBOSA DA SILVA"/>
        <s v="PATRICIA BARBOSA RODRIGUES"/>
        <s v="ALEXANDRE PEREIRA DUARTE"/>
        <s v="CRISTIANO AKIRA TANAKA"/>
        <s v="MADSON MATHIAS CARRARA"/>
        <s v="DAN RAFAEL PINTO DE OLIVEIRA"/>
        <s v="MATHEUS MIRANDA LOPES"/>
        <s v="FRANCINE MARQUES OLIVEIRA"/>
        <s v="FRANCISCA ORLEENE MELO DOS SANTOS"/>
        <s v="DANIEL ALAN GOMES SANTOS"/>
        <s v="LEANDRO ANTONIO DA SILVA MEDEIROS"/>
        <s v="RENATA PEREIRA"/>
      </sharedItems>
    </cacheField>
    <cacheField name="DEPARTAMENTO" numFmtId="0">
      <sharedItems count="10">
        <s v="ADM"/>
        <s v="PADARIA"/>
        <s v="FRENTE"/>
        <s v="LOJA"/>
        <s v="ACOUGUE"/>
        <s v="ESTOQUE"/>
        <s v="SOCIO"/>
        <s v="HORTIFRUTI"/>
        <s v="ROTISSERIA"/>
        <s v="SERVICOS"/>
      </sharedItems>
    </cacheField>
    <cacheField name="FUNCAO" numFmtId="0">
      <sharedItems count="32">
        <s v="ASSISTENTE ADM"/>
        <s v="BALCONISTA 2"/>
        <s v="OPERADOR DE CAIXA"/>
        <s v="OPERADOR DE LOJA 2"/>
        <s v="ENCARREGADO"/>
        <s v="CONFERENTE"/>
        <s v="OPERADOR DE LOJA 1"/>
        <s v="BALCONISTA 3"/>
        <s v="ACOUGUEIRO 1"/>
        <s v="BALCONISTA 1"/>
        <s v="REPOSITOR"/>
        <s v="SOCIO"/>
        <s v="AUXILIAR DE ESTOQUE"/>
        <s v="OPERADOR DE LOJA 3"/>
        <s v="FISCAL DECAIXA"/>
        <s v="AUXILIAR 1"/>
        <s v="COZINHEIRA MASTER"/>
        <s v="COZINHEIRA"/>
        <s v="AUXILIAR DE SERVICOS GERAIS"/>
        <s v="MOTORISTA"/>
        <s v="COMPRADOR"/>
        <s v="CONFEITEIRO"/>
        <s v="GERENTE FINANCEIRO"/>
        <s v="GERENTE DE PREVENCAO"/>
        <s v="GERENTE"/>
        <s v="ANALISTA DE RH"/>
        <s v="GERENTE DE LOJA"/>
        <s v="AUXILIAR DE PREVENCAO"/>
        <s v="ASSISTENTE FINANCEIRO"/>
        <s v="AUXILIAR DE MANUTENCAO"/>
        <s v="ESTOQUISTA"/>
        <s v="SUB-GERENTE"/>
      </sharedItems>
    </cacheField>
    <cacheField name="PROVENTOS" numFmtId="44">
      <sharedItems containsSemiMixedTypes="0" containsString="0" containsNumber="1" minValue="0" maxValue="8954.9699999999993"/>
    </cacheField>
    <cacheField name="BASE DO INSS" numFmtId="44">
      <sharedItems containsString="0" containsBlank="1" containsNumber="1" minValue="0" maxValue="8157.41"/>
    </cacheField>
    <cacheField name="ENCARGOS " numFmtId="44">
      <sharedItems containsString="0" containsBlank="1" containsNumber="1" minValue="0" maxValue="1631.482"/>
    </cacheField>
    <cacheField name="FGTS" numFmtId="44">
      <sharedItems containsString="0" containsBlank="1" containsNumber="1" minValue="0" maxValue="537.6"/>
    </cacheField>
    <cacheField name="PICPAY BENEFICIOS" numFmtId="44">
      <sharedItems containsString="0" containsBlank="1" containsNumber="1" containsInteger="1" minValue="0" maxValue="2035"/>
    </cacheField>
    <cacheField name="PICPAY ASSIDUIDADE" numFmtId="44">
      <sharedItems containsString="0" containsBlank="1" containsNumber="1" containsInteger="1" minValue="0" maxValue="80"/>
    </cacheField>
    <cacheField name="PLANO DE SAÚDE" numFmtId="44">
      <sharedItems containsString="0" containsBlank="1" containsNumber="1" minValue="0" maxValue="737.07"/>
    </cacheField>
    <cacheField name="VALE TRANSPORTE" numFmtId="44">
      <sharedItems containsString="0" containsBlank="1" containsNumber="1" minValue="0" maxValue="306.8"/>
    </cacheField>
    <cacheField name="TOTAL" numFmtId="44">
      <sharedItems containsSemiMixedTypes="0" containsString="0" containsNumber="1" minValue="25.880299999999998" maxValue="10417.644399999999"/>
    </cacheField>
    <cacheField name="HORAS EXTRAS" numFmtId="44">
      <sharedItems containsString="0" containsBlank="1" containsNumber="1" minValue="0" maxValue="1353.33"/>
    </cacheField>
    <cacheField name="FATURAMENTO" numFmtId="44">
      <sharedItems containsSemiMixedTypes="0" containsString="0" containsNumber="1" minValue="1309803.51" maxValue="2637808.56"/>
    </cacheField>
    <cacheField name="%S/F" numFmtId="10">
      <sharedItems containsSemiMixedTypes="0" containsString="0" containsNumber="1" minValue="9.8112806184843074E-6" maxValue="7.0484773581789379E-3"/>
    </cacheField>
  </cacheFields>
  <extLst>
    <ext xmlns:x14="http://schemas.microsoft.com/office/spreadsheetml/2009/9/main" uri="{725AE2AE-9491-48be-B2B4-4EB974FC3084}">
      <x14:pivotCacheDefinition pivotCacheId="3236162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n v="2025"/>
    <x v="0"/>
    <n v="1309803.51"/>
    <n v="3"/>
    <n v="8712.116"/>
    <n v="436601.17"/>
  </r>
  <r>
    <x v="0"/>
    <x v="0"/>
    <n v="2025"/>
    <x v="1"/>
    <n v="87205.3"/>
    <n v="3"/>
    <n v="10258.337600000001"/>
    <n v="29068.433333333334"/>
  </r>
  <r>
    <x v="0"/>
    <x v="0"/>
    <n v="2025"/>
    <x v="2"/>
    <n v="1309803.51"/>
    <n v="14"/>
    <n v="48484.677400000008"/>
    <n v="93557.393571428576"/>
  </r>
  <r>
    <x v="0"/>
    <x v="0"/>
    <n v="2025"/>
    <x v="3"/>
    <n v="890516.89"/>
    <n v="12"/>
    <n v="31539.9005"/>
    <n v="74209.74083333333"/>
  </r>
  <r>
    <x v="0"/>
    <x v="0"/>
    <n v="2025"/>
    <x v="4"/>
    <n v="202015.59"/>
    <n v="6"/>
    <n v="22501.3236"/>
    <n v="33669.264999999999"/>
  </r>
  <r>
    <x v="0"/>
    <x v="0"/>
    <n v="2025"/>
    <x v="5"/>
    <n v="1309803.51"/>
    <n v="2"/>
    <n v="3742.3769000000002"/>
    <n v="654901.755"/>
  </r>
  <r>
    <x v="0"/>
    <x v="0"/>
    <n v="2025"/>
    <x v="6"/>
    <n v="1309803.51"/>
    <n v="1"/>
    <n v="2824"/>
    <n v="1309803.51"/>
  </r>
  <r>
    <x v="0"/>
    <x v="0"/>
    <n v="2025"/>
    <x v="7"/>
    <n v="116100.71"/>
    <n v="0"/>
    <n v="0"/>
    <n v="0"/>
  </r>
  <r>
    <x v="0"/>
    <x v="0"/>
    <n v="2025"/>
    <x v="8"/>
    <n v="0"/>
    <n v="0"/>
    <n v="0"/>
    <n v="0"/>
  </r>
  <r>
    <x v="0"/>
    <x v="0"/>
    <n v="2025"/>
    <x v="9"/>
    <n v="1309803.51"/>
    <n v="0"/>
    <n v="0"/>
    <n v="0"/>
  </r>
  <r>
    <x v="1"/>
    <x v="0"/>
    <n v="2025"/>
    <x v="0"/>
    <n v="2348338.65"/>
    <n v="4"/>
    <n v="19963.810000000001"/>
    <n v="587084.66249999998"/>
  </r>
  <r>
    <x v="1"/>
    <x v="0"/>
    <n v="2025"/>
    <x v="1"/>
    <n v="201237.88"/>
    <n v="8"/>
    <n v="26985.6806"/>
    <n v="25154.735000000001"/>
  </r>
  <r>
    <x v="1"/>
    <x v="0"/>
    <n v="2025"/>
    <x v="2"/>
    <n v="2348338.65"/>
    <n v="16"/>
    <n v="57969.693500000001"/>
    <n v="146771.16562499999"/>
  </r>
  <r>
    <x v="1"/>
    <x v="0"/>
    <n v="2025"/>
    <x v="3"/>
    <n v="1408573.46"/>
    <n v="20"/>
    <n v="62129.043600000005"/>
    <n v="70428.672999999995"/>
  </r>
  <r>
    <x v="1"/>
    <x v="0"/>
    <n v="2025"/>
    <x v="4"/>
    <n v="411981.53"/>
    <n v="8"/>
    <n v="28191.695599999999"/>
    <n v="51497.691250000003"/>
  </r>
  <r>
    <x v="1"/>
    <x v="0"/>
    <n v="2025"/>
    <x v="5"/>
    <n v="2348338.65"/>
    <n v="2"/>
    <n v="4487.92"/>
    <n v="1174169.325"/>
  </r>
  <r>
    <x v="1"/>
    <x v="0"/>
    <n v="2025"/>
    <x v="6"/>
    <n v="2348338.65"/>
    <n v="1"/>
    <n v="9788.8919999999998"/>
    <n v="2348338.65"/>
  </r>
  <r>
    <x v="1"/>
    <x v="0"/>
    <n v="2025"/>
    <x v="7"/>
    <n v="265388.73"/>
    <n v="4"/>
    <n v="14268.532800000001"/>
    <n v="66347.182499999995"/>
  </r>
  <r>
    <x v="1"/>
    <x v="0"/>
    <n v="2025"/>
    <x v="8"/>
    <n v="110992.86"/>
    <n v="8"/>
    <n v="24443.8629"/>
    <n v="13874.1075"/>
  </r>
  <r>
    <x v="1"/>
    <x v="0"/>
    <n v="2025"/>
    <x v="9"/>
    <n v="2348338.65"/>
    <n v="0"/>
    <n v="0"/>
    <n v="0"/>
  </r>
  <r>
    <x v="2"/>
    <x v="0"/>
    <n v="2025"/>
    <x v="0"/>
    <n v="1657043.9"/>
    <n v="3"/>
    <n v="17185.079999999998"/>
    <n v="552347.96666666667"/>
  </r>
  <r>
    <x v="2"/>
    <x v="0"/>
    <n v="2025"/>
    <x v="1"/>
    <n v="168795.51999999999"/>
    <n v="6"/>
    <n v="18777.8128"/>
    <n v="28132.586666666666"/>
  </r>
  <r>
    <x v="2"/>
    <x v="0"/>
    <n v="2025"/>
    <x v="2"/>
    <n v="1657043.9"/>
    <n v="15"/>
    <n v="47579.718800000002"/>
    <n v="110469.59333333332"/>
  </r>
  <r>
    <x v="2"/>
    <x v="0"/>
    <n v="2025"/>
    <x v="3"/>
    <n v="1021283.81"/>
    <n v="14"/>
    <n v="36133.396999999997"/>
    <n v="72948.843571428573"/>
  </r>
  <r>
    <x v="2"/>
    <x v="0"/>
    <n v="2025"/>
    <x v="4"/>
    <n v="244145.23"/>
    <n v="7"/>
    <n v="22533.7284"/>
    <n v="34877.89"/>
  </r>
  <r>
    <x v="2"/>
    <x v="0"/>
    <n v="2025"/>
    <x v="5"/>
    <n v="1657043.9"/>
    <n v="2"/>
    <n v="7467.8719999999994"/>
    <n v="828521.95"/>
  </r>
  <r>
    <x v="2"/>
    <x v="0"/>
    <n v="2025"/>
    <x v="6"/>
    <n v="1657043.9"/>
    <n v="1"/>
    <n v="9788.8919999999998"/>
    <n v="1657043.9"/>
  </r>
  <r>
    <x v="2"/>
    <x v="0"/>
    <n v="2025"/>
    <x v="7"/>
    <n v="186948.55"/>
    <n v="2"/>
    <n v="6834.4742999999999"/>
    <n v="93474.274999999994"/>
  </r>
  <r>
    <x v="2"/>
    <x v="0"/>
    <n v="2025"/>
    <x v="8"/>
    <n v="0"/>
    <n v="0"/>
    <n v="0"/>
    <n v="0"/>
  </r>
  <r>
    <x v="2"/>
    <x v="0"/>
    <n v="2025"/>
    <x v="9"/>
    <n v="1657043.9"/>
    <n v="2"/>
    <n v="3516.35"/>
    <n v="828521.95"/>
  </r>
  <r>
    <x v="0"/>
    <x v="1"/>
    <n v="2025"/>
    <x v="0"/>
    <n v="1477999.27"/>
    <n v="3"/>
    <n v="12439.180699999999"/>
    <n v="492666.42333333334"/>
  </r>
  <r>
    <x v="0"/>
    <x v="1"/>
    <n v="2025"/>
    <x v="1"/>
    <n v="97200.6"/>
    <n v="5"/>
    <n v="14122.2341"/>
    <n v="19440.120000000003"/>
  </r>
  <r>
    <x v="0"/>
    <x v="1"/>
    <n v="2025"/>
    <x v="2"/>
    <n v="1477999.27"/>
    <n v="15"/>
    <n v="50474.889200000005"/>
    <n v="98533.284666666674"/>
  </r>
  <r>
    <x v="0"/>
    <x v="1"/>
    <n v="2025"/>
    <x v="3"/>
    <n v="1006509.64"/>
    <n v="11"/>
    <n v="30175.5661"/>
    <n v="91500.876363636358"/>
  </r>
  <r>
    <x v="0"/>
    <x v="1"/>
    <n v="2025"/>
    <x v="4"/>
    <n v="223502.97"/>
    <n v="6"/>
    <n v="27610.395099999998"/>
    <n v="37250.495000000003"/>
  </r>
  <r>
    <x v="0"/>
    <x v="1"/>
    <n v="2025"/>
    <x v="5"/>
    <n v="1477999.27"/>
    <n v="2"/>
    <n v="10138.6425"/>
    <n v="738999.63500000001"/>
  </r>
  <r>
    <x v="0"/>
    <x v="1"/>
    <n v="2025"/>
    <x v="6"/>
    <n v="1477999.27"/>
    <n v="1"/>
    <n v="2824"/>
    <n v="1477999.27"/>
  </r>
  <r>
    <x v="0"/>
    <x v="1"/>
    <n v="2025"/>
    <x v="7"/>
    <n v="136795.13"/>
    <n v="0"/>
    <n v="0"/>
    <n v="0"/>
  </r>
  <r>
    <x v="0"/>
    <x v="1"/>
    <n v="2025"/>
    <x v="8"/>
    <n v="0"/>
    <n v="0"/>
    <n v="0"/>
    <n v="0"/>
  </r>
  <r>
    <x v="0"/>
    <x v="1"/>
    <n v="2025"/>
    <x v="9"/>
    <n v="1477999.27"/>
    <n v="0"/>
    <n v="0"/>
    <n v="0"/>
  </r>
  <r>
    <x v="1"/>
    <x v="1"/>
    <n v="2025"/>
    <x v="0"/>
    <n v="2637808.56"/>
    <n v="4"/>
    <n v="23159.25"/>
    <n v="659452.14"/>
  </r>
  <r>
    <x v="1"/>
    <x v="1"/>
    <n v="2025"/>
    <x v="1"/>
    <n v="217186.7"/>
    <n v="7"/>
    <n v="23516.839"/>
    <n v="31026.67142857143"/>
  </r>
  <r>
    <x v="1"/>
    <x v="1"/>
    <n v="2025"/>
    <x v="2"/>
    <n v="2637808.56"/>
    <n v="18"/>
    <n v="59939.77580000001"/>
    <n v="146544.92000000001"/>
  </r>
  <r>
    <x v="1"/>
    <x v="1"/>
    <n v="2025"/>
    <x v="3"/>
    <n v="1596012.8"/>
    <n v="19"/>
    <n v="61645.495199999998"/>
    <n v="84000.673684210531"/>
  </r>
  <r>
    <x v="1"/>
    <x v="1"/>
    <n v="2025"/>
    <x v="4"/>
    <n v="464367"/>
    <n v="8"/>
    <n v="27292.996800000001"/>
    <n v="58045.875"/>
  </r>
  <r>
    <x v="1"/>
    <x v="1"/>
    <n v="2025"/>
    <x v="5"/>
    <n v="2637808.56"/>
    <n v="2"/>
    <n v="4802.37"/>
    <n v="1318904.28"/>
  </r>
  <r>
    <x v="1"/>
    <x v="1"/>
    <n v="2025"/>
    <x v="6"/>
    <n v="2637808.56"/>
    <n v="1"/>
    <n v="9788.8919999999998"/>
    <n v="2637808.56"/>
  </r>
  <r>
    <x v="1"/>
    <x v="1"/>
    <n v="2025"/>
    <x v="7"/>
    <n v="293679.81"/>
    <n v="5"/>
    <n v="17454.652300000002"/>
    <n v="58735.962"/>
  </r>
  <r>
    <x v="1"/>
    <x v="1"/>
    <n v="2025"/>
    <x v="8"/>
    <n v="118425.27"/>
    <n v="7"/>
    <n v="22317.455799999996"/>
    <n v="16917.895714285714"/>
  </r>
  <r>
    <x v="1"/>
    <x v="1"/>
    <n v="2025"/>
    <x v="9"/>
    <n v="2637808.56"/>
    <n v="1"/>
    <n v="1630.61"/>
    <n v="2637808.56"/>
  </r>
  <r>
    <x v="2"/>
    <x v="1"/>
    <n v="2025"/>
    <x v="0"/>
    <n v="1849662.93"/>
    <n v="3"/>
    <n v="17238.68"/>
    <n v="616554.30999999994"/>
  </r>
  <r>
    <x v="2"/>
    <x v="1"/>
    <n v="2025"/>
    <x v="1"/>
    <n v="182999.79"/>
    <n v="6"/>
    <n v="21810.599000000002"/>
    <n v="30499.965"/>
  </r>
  <r>
    <x v="2"/>
    <x v="1"/>
    <n v="2025"/>
    <x v="2"/>
    <n v="1849662.93"/>
    <n v="15"/>
    <n v="51951.538400000005"/>
    <n v="123310.86199999999"/>
  </r>
  <r>
    <x v="2"/>
    <x v="1"/>
    <n v="2025"/>
    <x v="3"/>
    <n v="1149861.0900000001"/>
    <n v="14"/>
    <n v="41981.462"/>
    <n v="82132.935000000012"/>
  </r>
  <r>
    <x v="2"/>
    <x v="1"/>
    <n v="2025"/>
    <x v="4"/>
    <n v="272159.07"/>
    <n v="6"/>
    <n v="23324.3989"/>
    <n v="45359.845000000001"/>
  </r>
  <r>
    <x v="2"/>
    <x v="1"/>
    <n v="2025"/>
    <x v="5"/>
    <n v="1849662.93"/>
    <n v="2"/>
    <n v="7397.8969999999999"/>
    <n v="924831.46499999997"/>
  </r>
  <r>
    <x v="2"/>
    <x v="1"/>
    <n v="2025"/>
    <x v="6"/>
    <n v="1849662.93"/>
    <n v="1"/>
    <n v="9788.8919999999998"/>
    <n v="1849662.93"/>
  </r>
  <r>
    <x v="2"/>
    <x v="1"/>
    <n v="2025"/>
    <x v="7"/>
    <n v="206770.89"/>
    <n v="3"/>
    <n v="9063.8958000000002"/>
    <n v="68923.63"/>
  </r>
  <r>
    <x v="2"/>
    <x v="1"/>
    <n v="2025"/>
    <x v="8"/>
    <n v="0"/>
    <n v="0"/>
    <n v="0"/>
    <n v="0"/>
  </r>
  <r>
    <x v="2"/>
    <x v="1"/>
    <n v="2025"/>
    <x v="9"/>
    <n v="1849662.93"/>
    <n v="2"/>
    <n v="5765.7199999999993"/>
    <n v="924831.46499999997"/>
  </r>
  <r>
    <x v="0"/>
    <x v="2"/>
    <n v="2025"/>
    <x v="0"/>
    <n v="1519761.37"/>
    <n v="3"/>
    <n v="12116.697899999999"/>
    <n v="506587.12333333335"/>
  </r>
  <r>
    <x v="0"/>
    <x v="2"/>
    <n v="2025"/>
    <x v="1"/>
    <n v="108515.69"/>
    <n v="5"/>
    <n v="16969.537899999999"/>
    <n v="21703.137999999999"/>
  </r>
  <r>
    <x v="0"/>
    <x v="2"/>
    <n v="2025"/>
    <x v="2"/>
    <n v="1519761.37"/>
    <n v="17"/>
    <n v="54675.086800000005"/>
    <n v="89397.727647058826"/>
  </r>
  <r>
    <x v="0"/>
    <x v="2"/>
    <n v="2025"/>
    <x v="3"/>
    <n v="1027664.67"/>
    <n v="12"/>
    <n v="36139.689699999995"/>
    <n v="85638.722500000003"/>
  </r>
  <r>
    <x v="0"/>
    <x v="2"/>
    <n v="2025"/>
    <x v="4"/>
    <n v="227682.2"/>
    <n v="6"/>
    <n v="24822.561199999996"/>
    <n v="37947.033333333333"/>
  </r>
  <r>
    <x v="0"/>
    <x v="2"/>
    <n v="2025"/>
    <x v="5"/>
    <n v="1519761.37"/>
    <n v="2"/>
    <n v="6032.57"/>
    <n v="759880.68500000006"/>
  </r>
  <r>
    <x v="0"/>
    <x v="2"/>
    <n v="2025"/>
    <x v="6"/>
    <n v="1519761.37"/>
    <n v="1"/>
    <n v="2824"/>
    <n v="1519761.37"/>
  </r>
  <r>
    <x v="0"/>
    <x v="2"/>
    <n v="2025"/>
    <x v="7"/>
    <n v="141669.79"/>
    <n v="0"/>
    <n v="0"/>
    <n v="0"/>
  </r>
  <r>
    <x v="0"/>
    <x v="2"/>
    <n v="2025"/>
    <x v="8"/>
    <n v="0"/>
    <n v="0"/>
    <n v="0"/>
    <n v="0"/>
  </r>
  <r>
    <x v="0"/>
    <x v="2"/>
    <n v="2025"/>
    <x v="9"/>
    <n v="1519761.37"/>
    <n v="0"/>
    <n v="0"/>
    <n v="0"/>
  </r>
  <r>
    <x v="1"/>
    <x v="2"/>
    <n v="2025"/>
    <x v="0"/>
    <n v="2559361.83"/>
    <n v="5"/>
    <n v="28019.109999999997"/>
    <n v="511872.36600000004"/>
  </r>
  <r>
    <x v="1"/>
    <x v="2"/>
    <n v="2025"/>
    <x v="1"/>
    <n v="225900"/>
    <n v="7"/>
    <n v="28155.730899999999"/>
    <n v="32271.428571428572"/>
  </r>
  <r>
    <x v="1"/>
    <x v="2"/>
    <n v="2025"/>
    <x v="2"/>
    <n v="2559361.83"/>
    <n v="19"/>
    <n v="77950.774899999989"/>
    <n v="134703.25421052633"/>
  </r>
  <r>
    <x v="1"/>
    <x v="2"/>
    <n v="2025"/>
    <x v="3"/>
    <n v="1551773.91"/>
    <n v="19"/>
    <n v="72297.546100000007"/>
    <n v="81672.311052631572"/>
  </r>
  <r>
    <x v="1"/>
    <x v="2"/>
    <n v="2025"/>
    <x v="4"/>
    <n v="435002.38"/>
    <n v="8"/>
    <n v="32400.929799999998"/>
    <n v="54375.297500000001"/>
  </r>
  <r>
    <x v="1"/>
    <x v="2"/>
    <n v="2025"/>
    <x v="5"/>
    <n v="2559361.83"/>
    <n v="1"/>
    <n v="3751.05"/>
    <n v="2559361.83"/>
  </r>
  <r>
    <x v="1"/>
    <x v="2"/>
    <n v="2025"/>
    <x v="6"/>
    <n v="2559361.83"/>
    <n v="1"/>
    <n v="9788.8919999999998"/>
    <n v="2559361.83"/>
  </r>
  <r>
    <x v="1"/>
    <x v="2"/>
    <n v="2025"/>
    <x v="7"/>
    <n v="284912.68"/>
    <n v="4"/>
    <n v="14430.603999999999"/>
    <n v="71228.17"/>
  </r>
  <r>
    <x v="1"/>
    <x v="2"/>
    <n v="2025"/>
    <x v="8"/>
    <n v="115106.97"/>
    <n v="8"/>
    <n v="24032.513799999997"/>
    <n v="14388.37125"/>
  </r>
  <r>
    <x v="1"/>
    <x v="2"/>
    <n v="2025"/>
    <x v="9"/>
    <n v="2559361.83"/>
    <n v="2"/>
    <n v="3578.0066999999999"/>
    <n v="1279680.915"/>
  </r>
  <r>
    <x v="2"/>
    <x v="2"/>
    <n v="2025"/>
    <x v="0"/>
    <n v="1812293.64"/>
    <n v="3"/>
    <n v="17527.620000000003"/>
    <n v="604097.88"/>
  </r>
  <r>
    <x v="2"/>
    <x v="2"/>
    <n v="2025"/>
    <x v="1"/>
    <n v="171733.14"/>
    <n v="7"/>
    <n v="25011.283000000003"/>
    <n v="24533.305714285718"/>
  </r>
  <r>
    <x v="2"/>
    <x v="2"/>
    <n v="2025"/>
    <x v="2"/>
    <n v="1812293.64"/>
    <n v="15"/>
    <n v="56924.907900000006"/>
    <n v="120819.57599999999"/>
  </r>
  <r>
    <x v="2"/>
    <x v="2"/>
    <n v="2025"/>
    <x v="3"/>
    <n v="1144496.05"/>
    <n v="15"/>
    <n v="45054.5959"/>
    <n v="76299.736666666664"/>
  </r>
  <r>
    <x v="2"/>
    <x v="2"/>
    <n v="2025"/>
    <x v="4"/>
    <n v="260046.65"/>
    <n v="6"/>
    <n v="26644.1443"/>
    <n v="43341.10833333333"/>
  </r>
  <r>
    <x v="2"/>
    <x v="2"/>
    <n v="2025"/>
    <x v="5"/>
    <n v="1812293.64"/>
    <n v="2"/>
    <n v="7712.9735000000001"/>
    <n v="906146.82"/>
  </r>
  <r>
    <x v="2"/>
    <x v="2"/>
    <n v="2025"/>
    <x v="6"/>
    <n v="1812293.64"/>
    <n v="1"/>
    <n v="9788.8919999999998"/>
    <n v="1812293.64"/>
  </r>
  <r>
    <x v="2"/>
    <x v="2"/>
    <n v="2025"/>
    <x v="7"/>
    <n v="196912.71"/>
    <n v="3"/>
    <n v="11021.191999999999"/>
    <n v="65637.569999999992"/>
  </r>
  <r>
    <x v="2"/>
    <x v="2"/>
    <n v="2025"/>
    <x v="8"/>
    <n v="0"/>
    <n v="0"/>
    <n v="0"/>
    <n v="0"/>
  </r>
  <r>
    <x v="2"/>
    <x v="2"/>
    <n v="2025"/>
    <x v="9"/>
    <n v="1812293.64"/>
    <n v="2"/>
    <n v="5766.7199999999993"/>
    <n v="906146.8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5">
  <r>
    <s v="FOLHA-FILIAL"/>
    <x v="0"/>
    <x v="0"/>
    <n v="2025"/>
    <n v="111"/>
    <x v="0"/>
    <x v="0"/>
    <x v="0"/>
    <n v="2475.48"/>
    <n v="2475.48"/>
    <n v="675.80600000000004"/>
    <n v="198.03"/>
    <n v="322"/>
    <n v="0"/>
    <n v="122.84"/>
    <n v="0"/>
    <n v="3794.1559999999999"/>
    <n v="31.91"/>
    <n v="1309803.51"/>
    <n v="2.8967368090195449E-3"/>
  </r>
  <r>
    <s v="FOLHA-FILIAL"/>
    <x v="0"/>
    <x v="0"/>
    <n v="2025"/>
    <n v="139"/>
    <x v="1"/>
    <x v="1"/>
    <x v="1"/>
    <n v="2347.9699999999998"/>
    <n v="2346.2600000000002"/>
    <n v="640.529"/>
    <n v="187.7"/>
    <n v="0"/>
    <n v="0"/>
    <n v="0"/>
    <n v="0"/>
    <n v="3176.1990000000001"/>
    <n v="33.28"/>
    <n v="1309803.51"/>
    <n v="2.4249430969993354E-3"/>
  </r>
  <r>
    <s v="FOLHA-FILIAL"/>
    <x v="0"/>
    <x v="0"/>
    <n v="2025"/>
    <n v="202"/>
    <x v="2"/>
    <x v="2"/>
    <x v="2"/>
    <n v="931.68"/>
    <n v="931.68"/>
    <n v="254.3486"/>
    <n v="74.53"/>
    <n v="0"/>
    <n v="0"/>
    <n v="0"/>
    <n v="0"/>
    <n v="1260.5586000000001"/>
    <n v="43.28"/>
    <n v="1309803.51"/>
    <n v="9.6240285689874196E-4"/>
  </r>
  <r>
    <s v="FOLHA-FILIAL"/>
    <x v="0"/>
    <x v="0"/>
    <n v="2025"/>
    <n v="183"/>
    <x v="3"/>
    <x v="2"/>
    <x v="2"/>
    <n v="2490.9299999999998"/>
    <n v="2384.6799999999998"/>
    <n v="651.01760000000002"/>
    <n v="190.77"/>
    <n v="308"/>
    <n v="80"/>
    <n v="0"/>
    <n v="0"/>
    <n v="3720.7175999999999"/>
    <n v="149.29"/>
    <n v="1309803.51"/>
    <n v="2.8406685518807318E-3"/>
  </r>
  <r>
    <s v="FOLHA-FILIAL"/>
    <x v="0"/>
    <x v="0"/>
    <n v="2025"/>
    <n v="170"/>
    <x v="4"/>
    <x v="3"/>
    <x v="3"/>
    <n v="0"/>
    <n v="0"/>
    <n v="0"/>
    <n v="0"/>
    <n v="70"/>
    <n v="0"/>
    <n v="0"/>
    <n v="0"/>
    <n v="70"/>
    <n v="0"/>
    <n v="1309803.51"/>
    <n v="5.3443130565438781E-5"/>
  </r>
  <r>
    <s v="FOLHA-FILIAL"/>
    <x v="0"/>
    <x v="0"/>
    <n v="2025"/>
    <n v="123"/>
    <x v="5"/>
    <x v="2"/>
    <x v="2"/>
    <n v="2627.23"/>
    <n v="125.27"/>
    <n v="34.198700000000002"/>
    <n v="10.02"/>
    <n v="0"/>
    <n v="0"/>
    <n v="0"/>
    <n v="0"/>
    <n v="2671.4486999999999"/>
    <n v="0"/>
    <n v="1309803.51"/>
    <n v="2.039579745820043E-3"/>
  </r>
  <r>
    <s v="FOLHA-FILIAL"/>
    <x v="0"/>
    <x v="0"/>
    <n v="2025"/>
    <n v="16"/>
    <x v="6"/>
    <x v="1"/>
    <x v="4"/>
    <n v="2549.48"/>
    <n v="2495.98"/>
    <n v="681.40250000000003"/>
    <n v="199.67"/>
    <n v="308"/>
    <n v="80"/>
    <n v="0"/>
    <n v="0"/>
    <n v="3818.5524999999998"/>
    <n v="96.51"/>
    <n v="1309803.51"/>
    <n v="2.9153628852315416E-3"/>
  </r>
  <r>
    <s v="FOLHA-FILIAL"/>
    <x v="0"/>
    <x v="0"/>
    <n v="2025"/>
    <n v="25"/>
    <x v="7"/>
    <x v="4"/>
    <x v="4"/>
    <n v="3340.89"/>
    <n v="3340.89"/>
    <n v="912.06299999999999"/>
    <n v="267.27"/>
    <n v="400"/>
    <n v="80"/>
    <n v="0"/>
    <n v="0"/>
    <n v="5000.223"/>
    <n v="307.06"/>
    <n v="1309803.51"/>
    <n v="3.8175367006002296E-3"/>
  </r>
  <r>
    <s v="FOLHA-FILIAL"/>
    <x v="0"/>
    <x v="0"/>
    <n v="2025"/>
    <n v="195"/>
    <x v="8"/>
    <x v="2"/>
    <x v="2"/>
    <n v="2360.9699999999998"/>
    <n v="2062.91"/>
    <n v="563.17439999999999"/>
    <n v="165.03"/>
    <n v="308"/>
    <n v="0"/>
    <n v="0"/>
    <n v="306.8"/>
    <n v="3703.9744000000001"/>
    <n v="41.46"/>
    <n v="1309803.51"/>
    <n v="2.8278855581933809E-3"/>
  </r>
  <r>
    <s v="FOLHA-FILIAL"/>
    <x v="0"/>
    <x v="0"/>
    <n v="2025"/>
    <n v="172"/>
    <x v="9"/>
    <x v="5"/>
    <x v="5"/>
    <n v="2430.2600000000002"/>
    <n v="1385.3"/>
    <n v="378.18689999999998"/>
    <n v="110.82"/>
    <n v="0"/>
    <n v="0"/>
    <n v="0"/>
    <n v="0"/>
    <n v="2919.2669000000001"/>
    <n v="0"/>
    <n v="1309803.51"/>
    <n v="2.2287823156009103E-3"/>
  </r>
  <r>
    <s v="FOLHA-FILIAL"/>
    <x v="0"/>
    <x v="0"/>
    <n v="2025"/>
    <n v="189"/>
    <x v="10"/>
    <x v="2"/>
    <x v="2"/>
    <n v="2520.19"/>
    <n v="2446.9699999999998"/>
    <n v="668.02279999999996"/>
    <n v="195.75"/>
    <n v="322"/>
    <n v="0"/>
    <n v="0"/>
    <n v="0"/>
    <n v="3705.9627999999998"/>
    <n v="179.76"/>
    <n v="1309803.51"/>
    <n v="2.8294036332212912E-3"/>
  </r>
  <r>
    <s v="FOLHA-FILIAL"/>
    <x v="0"/>
    <x v="0"/>
    <n v="2025"/>
    <n v="147"/>
    <x v="11"/>
    <x v="2"/>
    <x v="2"/>
    <n v="2518.6999999999998"/>
    <n v="2413.61"/>
    <n v="658.91549999999995"/>
    <n v="193.08"/>
    <n v="308"/>
    <n v="80"/>
    <n v="0"/>
    <n v="0"/>
    <n v="3758.6954999999998"/>
    <n v="174.36"/>
    <n v="1309803.51"/>
    <n v="2.8696636566503016E-3"/>
  </r>
  <r>
    <s v="FOLHA-FILIAL"/>
    <x v="0"/>
    <x v="0"/>
    <n v="2025"/>
    <n v="191"/>
    <x v="12"/>
    <x v="2"/>
    <x v="2"/>
    <n v="2504.1999999999998"/>
    <n v="2375.61"/>
    <n v="648.54150000000004"/>
    <n v="190.04"/>
    <n v="322"/>
    <n v="0"/>
    <n v="0"/>
    <n v="306.8"/>
    <n v="3971.5814999999998"/>
    <n v="201.04"/>
    <n v="1309803.51"/>
    <n v="3.0321964322725012E-3"/>
  </r>
  <r>
    <s v="FOLHA-FILIAL"/>
    <x v="0"/>
    <x v="0"/>
    <n v="2025"/>
    <n v="194"/>
    <x v="13"/>
    <x v="2"/>
    <x v="2"/>
    <n v="2660"/>
    <n v="2557.42"/>
    <n v="698.17570000000001"/>
    <n v="204.59"/>
    <n v="308"/>
    <n v="80"/>
    <n v="0"/>
    <n v="0"/>
    <n v="3950.7656999999999"/>
    <n v="426.78"/>
    <n v="1309803.51"/>
    <n v="3.016304071440456E-3"/>
  </r>
  <r>
    <s v="FOLHA-FILIAL"/>
    <x v="0"/>
    <x v="0"/>
    <n v="2025"/>
    <n v="187"/>
    <x v="14"/>
    <x v="3"/>
    <x v="3"/>
    <n v="2507.94"/>
    <n v="2469.4899999999998"/>
    <n v="674.17079999999999"/>
    <n v="197.55"/>
    <n v="322"/>
    <n v="0"/>
    <n v="0"/>
    <n v="0"/>
    <n v="3701.6608000000001"/>
    <n v="157.47"/>
    <n v="1309803.51"/>
    <n v="2.8261191405724662E-3"/>
  </r>
  <r>
    <s v="FOLHA-FILIAL"/>
    <x v="0"/>
    <x v="0"/>
    <n v="2025"/>
    <n v="198"/>
    <x v="15"/>
    <x v="3"/>
    <x v="6"/>
    <n v="2244.8000000000002"/>
    <n v="2244.8000000000002"/>
    <n v="612.83040000000005"/>
    <n v="179.58"/>
    <n v="308"/>
    <n v="0"/>
    <n v="0"/>
    <n v="0"/>
    <n v="3345.2103999999999"/>
    <n v="269.8"/>
    <n v="1309803.51"/>
    <n v="2.5539788025151959E-3"/>
  </r>
  <r>
    <s v="FOLHA-FILIAL"/>
    <x v="0"/>
    <x v="0"/>
    <n v="2025"/>
    <n v="182"/>
    <x v="16"/>
    <x v="2"/>
    <x v="2"/>
    <n v="2844.64"/>
    <n v="1449.37"/>
    <n v="395.678"/>
    <n v="146.94"/>
    <n v="336"/>
    <n v="0"/>
    <n v="0"/>
    <n v="210.3"/>
    <n v="3933.558"/>
    <n v="0"/>
    <n v="1309803.51"/>
    <n v="3.003166490216536E-3"/>
  </r>
  <r>
    <s v="FOLHA-FILIAL"/>
    <x v="0"/>
    <x v="0"/>
    <n v="2025"/>
    <n v="197"/>
    <x v="17"/>
    <x v="2"/>
    <x v="2"/>
    <n v="2474.87"/>
    <n v="2474.87"/>
    <n v="675.6395"/>
    <n v="197.98"/>
    <n v="322"/>
    <n v="80"/>
    <n v="0"/>
    <n v="306.8"/>
    <n v="4057.2894999999999"/>
    <n v="253.87"/>
    <n v="1309803.51"/>
    <n v="3.0976321860673589E-3"/>
  </r>
  <r>
    <s v="FOLHA-FILIAL"/>
    <x v="0"/>
    <x v="0"/>
    <n v="2025"/>
    <n v="155"/>
    <x v="18"/>
    <x v="2"/>
    <x v="2"/>
    <n v="2452.2600000000002"/>
    <n v="2390.63"/>
    <n v="652.64200000000005"/>
    <n v="191.25"/>
    <n v="322"/>
    <n v="0"/>
    <n v="0"/>
    <n v="0"/>
    <n v="3618.152"/>
    <n v="121.16"/>
    <n v="1309803.51"/>
    <n v="2.7623624172453168E-3"/>
  </r>
  <r>
    <s v="FOLHA-FILIAL"/>
    <x v="0"/>
    <x v="0"/>
    <n v="2025"/>
    <n v="116"/>
    <x v="19"/>
    <x v="4"/>
    <x v="7"/>
    <n v="2375.0700000000002"/>
    <n v="2345.06"/>
    <n v="640.20140000000004"/>
    <n v="187.6"/>
    <n v="322"/>
    <n v="0"/>
    <n v="0"/>
    <n v="0"/>
    <n v="3524.8714"/>
    <n v="14.25"/>
    <n v="1309803.51"/>
    <n v="2.6911451626816913E-3"/>
  </r>
  <r>
    <s v="FOLHA-FILIAL"/>
    <x v="0"/>
    <x v="0"/>
    <n v="2025"/>
    <n v="192"/>
    <x v="20"/>
    <x v="4"/>
    <x v="8"/>
    <n v="2558.5700000000002"/>
    <n v="2494.62"/>
    <n v="681.03129999999999"/>
    <n v="199.56"/>
    <n v="308"/>
    <n v="0"/>
    <n v="0"/>
    <n v="306.8"/>
    <n v="4053.9612999999999"/>
    <n v="45.69"/>
    <n v="1309803.51"/>
    <n v="3.095091156077296E-3"/>
  </r>
  <r>
    <s v="FOLHA-FILIAL"/>
    <x v="0"/>
    <x v="0"/>
    <n v="2025"/>
    <n v="173"/>
    <x v="21"/>
    <x v="4"/>
    <x v="1"/>
    <n v="2201.8000000000002"/>
    <n v="2143.23"/>
    <n v="585.10180000000003"/>
    <n v="171.45"/>
    <n v="322"/>
    <n v="0"/>
    <n v="0"/>
    <n v="0"/>
    <n v="3280.3517999999999"/>
    <n v="9.17"/>
    <n v="1309803.51"/>
    <n v="2.5044609859077261E-3"/>
  </r>
  <r>
    <s v="FOLHA-FILIAL"/>
    <x v="0"/>
    <x v="0"/>
    <n v="2025"/>
    <n v="154"/>
    <x v="22"/>
    <x v="1"/>
    <x v="9"/>
    <n v="2203.9899999999998"/>
    <n v="2129.1799999999998"/>
    <n v="581.26610000000005"/>
    <n v="170.33"/>
    <n v="308"/>
    <n v="0"/>
    <n v="0"/>
    <n v="0"/>
    <n v="3263.5861"/>
    <n v="120.16"/>
    <n v="1309803.51"/>
    <n v="2.4916608598796624E-3"/>
  </r>
  <r>
    <s v="FOLHA-FILIAL"/>
    <x v="0"/>
    <x v="0"/>
    <n v="2025"/>
    <n v="196"/>
    <x v="23"/>
    <x v="3"/>
    <x v="6"/>
    <n v="2384.38"/>
    <n v="2384.38"/>
    <n v="650.9357"/>
    <n v="190.75"/>
    <n v="308"/>
    <n v="80"/>
    <n v="0"/>
    <n v="306.8"/>
    <n v="3920.8656999999998"/>
    <n v="409.38"/>
    <n v="1309803.51"/>
    <n v="2.9934762810339393E-3"/>
  </r>
  <r>
    <s v="FOLHA-FILIAL"/>
    <x v="0"/>
    <x v="0"/>
    <n v="2025"/>
    <n v="177"/>
    <x v="24"/>
    <x v="4"/>
    <x v="9"/>
    <n v="2096.17"/>
    <n v="2090.6"/>
    <n v="570.73379999999997"/>
    <n v="167.24"/>
    <n v="322"/>
    <n v="0"/>
    <n v="0"/>
    <n v="0"/>
    <n v="3156.1437999999998"/>
    <n v="13.91"/>
    <n v="1309803.51"/>
    <n v="2.4096315026671442E-3"/>
  </r>
  <r>
    <s v="FOLHA-FILIAL"/>
    <x v="0"/>
    <x v="0"/>
    <n v="2025"/>
    <n v="199"/>
    <x v="25"/>
    <x v="3"/>
    <x v="10"/>
    <n v="2033.31"/>
    <n v="2033.31"/>
    <n v="555.09360000000004"/>
    <n v="162.66"/>
    <n v="322"/>
    <n v="80"/>
    <n v="0"/>
    <n v="306.8"/>
    <n v="3459.8636000000001"/>
    <n v="189.98"/>
    <n v="1309803.51"/>
    <n v="2.6415134816671852E-3"/>
  </r>
  <r>
    <s v="FOLHA-FILIAL"/>
    <x v="0"/>
    <x v="0"/>
    <n v="2025"/>
    <n v="2001"/>
    <x v="26"/>
    <x v="3"/>
    <x v="10"/>
    <n v="820"/>
    <n v="0"/>
    <n v="0"/>
    <n v="0"/>
    <n v="0"/>
    <n v="0"/>
    <n v="0"/>
    <n v="306.8"/>
    <n v="1126.8"/>
    <n v="151.07"/>
    <n v="1309803.51"/>
    <n v="8.6028170744480593E-4"/>
  </r>
  <r>
    <s v="FOLHA-FILIAL"/>
    <x v="0"/>
    <x v="0"/>
    <n v="2025"/>
    <n v="2002"/>
    <x v="27"/>
    <x v="3"/>
    <x v="10"/>
    <n v="820"/>
    <n v="0"/>
    <n v="0"/>
    <n v="0"/>
    <n v="0"/>
    <n v="80"/>
    <n v="0"/>
    <n v="200"/>
    <n v="1100"/>
    <n v="46.87"/>
    <n v="1309803.51"/>
    <n v="8.398206231711808E-4"/>
  </r>
  <r>
    <s v="FOLHA-FILIAL"/>
    <x v="0"/>
    <x v="0"/>
    <n v="2025"/>
    <n v="2003"/>
    <x v="28"/>
    <x v="3"/>
    <x v="10"/>
    <n v="820"/>
    <n v="0"/>
    <n v="0"/>
    <n v="0"/>
    <n v="0"/>
    <n v="0"/>
    <n v="0"/>
    <n v="306.8"/>
    <n v="1126.8"/>
    <n v="23.06"/>
    <n v="1309803.51"/>
    <n v="8.6028170744480593E-4"/>
  </r>
  <r>
    <s v="FOLHA-FILIAL"/>
    <x v="0"/>
    <x v="0"/>
    <n v="2025"/>
    <n v="2004"/>
    <x v="29"/>
    <x v="3"/>
    <x v="10"/>
    <n v="820"/>
    <n v="0"/>
    <n v="0"/>
    <n v="0"/>
    <n v="0"/>
    <n v="80"/>
    <n v="0"/>
    <n v="306.8"/>
    <n v="1206.8"/>
    <n v="46.57"/>
    <n v="1309803.51"/>
    <n v="9.2135957094816468E-4"/>
  </r>
  <r>
    <s v="FOLHA-FILIAL"/>
    <x v="0"/>
    <x v="0"/>
    <n v="2025"/>
    <n v="201"/>
    <x v="30"/>
    <x v="4"/>
    <x v="8"/>
    <n v="2184.35"/>
    <n v="2168.36"/>
    <n v="591.96230000000003"/>
    <n v="173.46"/>
    <n v="536"/>
    <n v="0"/>
    <n v="0"/>
    <n v="0"/>
    <n v="3485.7723000000001"/>
    <n v="82.25"/>
    <n v="1309803.51"/>
    <n v="2.6612940440203891E-3"/>
  </r>
  <r>
    <s v="FOLHA-FILIAL"/>
    <x v="0"/>
    <x v="0"/>
    <n v="2025"/>
    <n v="200"/>
    <x v="31"/>
    <x v="2"/>
    <x v="2"/>
    <n v="2048.0700000000002"/>
    <n v="2048.0700000000002"/>
    <n v="559.12310000000002"/>
    <n v="163.84"/>
    <n v="280"/>
    <n v="0"/>
    <n v="0"/>
    <n v="0"/>
    <n v="3051.0331000000001"/>
    <n v="49.17"/>
    <n v="1309803.51"/>
    <n v="2.3293822979600963E-3"/>
  </r>
  <r>
    <s v="FOLHA-FILIAL"/>
    <x v="0"/>
    <x v="1"/>
    <n v="2025"/>
    <n v="111"/>
    <x v="0"/>
    <x v="0"/>
    <x v="0"/>
    <n v="3567.39"/>
    <n v="3512.64"/>
    <n v="958.95069999999998"/>
    <n v="281.01"/>
    <n v="308"/>
    <n v="0"/>
    <n v="122.84"/>
    <n v="0"/>
    <n v="5238.1907000000001"/>
    <n v="0"/>
    <n v="1477999.27"/>
    <n v="3.5441091388360422E-3"/>
  </r>
  <r>
    <s v="FOLHA-FILIAL"/>
    <x v="0"/>
    <x v="1"/>
    <n v="2025"/>
    <n v="139"/>
    <x v="1"/>
    <x v="1"/>
    <x v="1"/>
    <n v="2139.92"/>
    <n v="2139.92"/>
    <n v="584.19820000000004"/>
    <n v="171.19"/>
    <n v="280"/>
    <n v="80"/>
    <n v="0"/>
    <n v="0"/>
    <n v="3255.3081999999999"/>
    <n v="54.26"/>
    <n v="1477999.27"/>
    <n v="2.2025099917674521E-3"/>
  </r>
  <r>
    <s v="FOLHA-FILIAL"/>
    <x v="0"/>
    <x v="1"/>
    <n v="2025"/>
    <n v="202"/>
    <x v="2"/>
    <x v="2"/>
    <x v="2"/>
    <n v="2250.12"/>
    <n v="2239.69"/>
    <n v="611.43539999999996"/>
    <n v="179.17"/>
    <n v="562"/>
    <n v="80"/>
    <n v="0"/>
    <n v="0"/>
    <n v="3682.7253999999998"/>
    <n v="29.12"/>
    <n v="1477999.27"/>
    <n v="2.4916963389298558E-3"/>
  </r>
  <r>
    <s v="FOLHA-FILIAL"/>
    <x v="0"/>
    <x v="1"/>
    <n v="2025"/>
    <n v="183"/>
    <x v="3"/>
    <x v="2"/>
    <x v="2"/>
    <n v="2238.5"/>
    <n v="2162"/>
    <n v="590.226"/>
    <n v="172.96"/>
    <n v="350"/>
    <n v="0"/>
    <n v="0"/>
    <n v="0"/>
    <n v="3351.6860000000001"/>
    <n v="17.5"/>
    <n v="1477999.27"/>
    <n v="2.2677183054359696E-3"/>
  </r>
  <r>
    <s v="FOLHA-FILIAL"/>
    <x v="0"/>
    <x v="1"/>
    <n v="2025"/>
    <n v="205"/>
    <x v="32"/>
    <x v="1"/>
    <x v="9"/>
    <n v="1261.31"/>
    <n v="1259.51"/>
    <n v="343.84620000000001"/>
    <n v="100.76"/>
    <n v="210"/>
    <n v="0"/>
    <n v="0"/>
    <n v="306.8"/>
    <n v="2222.7161999999998"/>
    <n v="10.48"/>
    <n v="1477999.27"/>
    <n v="1.5038682867549724E-3"/>
  </r>
  <r>
    <s v="FOLHA-FILIAL"/>
    <x v="0"/>
    <x v="1"/>
    <n v="2025"/>
    <n v="123"/>
    <x v="5"/>
    <x v="2"/>
    <x v="2"/>
    <n v="2536.44"/>
    <n v="0"/>
    <n v="0"/>
    <n v="0"/>
    <n v="0"/>
    <n v="0"/>
    <n v="0"/>
    <n v="0"/>
    <n v="2536.44"/>
    <n v="0"/>
    <n v="1477999.27"/>
    <n v="1.7161307528927264E-3"/>
  </r>
  <r>
    <s v="FOLHA-FILIAL"/>
    <x v="0"/>
    <x v="1"/>
    <n v="2025"/>
    <n v="16"/>
    <x v="6"/>
    <x v="1"/>
    <x v="4"/>
    <n v="2402.2199999999998"/>
    <n v="2402.2199999999998"/>
    <n v="655.80610000000001"/>
    <n v="192.17"/>
    <n v="350"/>
    <n v="80"/>
    <n v="0"/>
    <n v="0"/>
    <n v="3680.1961000000001"/>
    <n v="80.92"/>
    <n v="1477999.27"/>
    <n v="2.4899850322659496E-3"/>
  </r>
  <r>
    <s v="FOLHA-FILIAL"/>
    <x v="0"/>
    <x v="1"/>
    <n v="2025"/>
    <n v="25"/>
    <x v="7"/>
    <x v="4"/>
    <x v="4"/>
    <n v="8954.9699999999993"/>
    <n v="2059.4299999999998"/>
    <n v="562.22439999999995"/>
    <n v="420.45"/>
    <n v="400"/>
    <n v="80"/>
    <n v="0"/>
    <n v="0"/>
    <n v="10417.644399999999"/>
    <n v="115.89"/>
    <n v="1477999.27"/>
    <n v="7.0484773581789379E-3"/>
  </r>
  <r>
    <s v="FOLHA-FILIAL"/>
    <x v="0"/>
    <x v="1"/>
    <n v="2025"/>
    <n v="195"/>
    <x v="8"/>
    <x v="2"/>
    <x v="2"/>
    <n v="2375.89"/>
    <n v="0"/>
    <n v="0"/>
    <n v="0"/>
    <n v="0"/>
    <n v="0"/>
    <n v="0"/>
    <n v="0"/>
    <n v="2375.89"/>
    <n v="0"/>
    <n v="1477999.27"/>
    <n v="1.6075041769134297E-3"/>
  </r>
  <r>
    <s v="FOLHA-FILIAL"/>
    <x v="0"/>
    <x v="1"/>
    <n v="2025"/>
    <n v="172"/>
    <x v="9"/>
    <x v="5"/>
    <x v="5"/>
    <n v="5888.31"/>
    <n v="1882.39"/>
    <n v="513.89250000000004"/>
    <n v="236.5"/>
    <n v="294"/>
    <n v="0"/>
    <n v="0"/>
    <n v="0"/>
    <n v="6932.7025000000003"/>
    <n v="19.16"/>
    <n v="1477999.27"/>
    <n v="4.6905993871025394E-3"/>
  </r>
  <r>
    <s v="FOLHA-FILIAL"/>
    <x v="0"/>
    <x v="1"/>
    <n v="2025"/>
    <n v="189"/>
    <x v="10"/>
    <x v="2"/>
    <x v="2"/>
    <n v="2279.04"/>
    <n v="2137.38"/>
    <n v="583.50469999999996"/>
    <n v="170.99"/>
    <n v="336"/>
    <n v="0"/>
    <n v="0"/>
    <n v="0"/>
    <n v="3369.5347000000002"/>
    <n v="58.04"/>
    <n v="1477999.27"/>
    <n v="2.27979459015565E-3"/>
  </r>
  <r>
    <s v="FOLHA-FILIAL"/>
    <x v="0"/>
    <x v="1"/>
    <n v="2025"/>
    <n v="147"/>
    <x v="11"/>
    <x v="2"/>
    <x v="2"/>
    <n v="2337.08"/>
    <n v="2329.06"/>
    <n v="635.83339999999998"/>
    <n v="186.32"/>
    <n v="350"/>
    <n v="80"/>
    <n v="0"/>
    <n v="0"/>
    <n v="3589.2334000000001"/>
    <n v="116.08"/>
    <n v="1477999.27"/>
    <n v="2.4284405634381672E-3"/>
  </r>
  <r>
    <s v="FOLHA-FILIAL"/>
    <x v="0"/>
    <x v="1"/>
    <n v="2025"/>
    <n v="204"/>
    <x v="33"/>
    <x v="1"/>
    <x v="9"/>
    <n v="1290.54"/>
    <n v="1288.1199999999999"/>
    <n v="351.65679999999998"/>
    <n v="103.04"/>
    <n v="210"/>
    <n v="0"/>
    <n v="0"/>
    <n v="0"/>
    <n v="1955.2367999999999"/>
    <n v="39.71"/>
    <n v="1477999.27"/>
    <n v="1.3228942663821477E-3"/>
  </r>
  <r>
    <s v="FOLHA-FILIAL"/>
    <x v="0"/>
    <x v="1"/>
    <n v="2025"/>
    <n v="191"/>
    <x v="12"/>
    <x v="2"/>
    <x v="2"/>
    <n v="4011.63"/>
    <n v="2258.64"/>
    <n v="616.6087"/>
    <n v="252.95"/>
    <n v="336"/>
    <n v="0"/>
    <n v="0"/>
    <n v="0"/>
    <n v="5217.1886999999997"/>
    <n v="40.799999999999997"/>
    <n v="1477999.27"/>
    <n v="3.5298993889218903E-3"/>
  </r>
  <r>
    <s v="FOLHA-FILIAL"/>
    <x v="0"/>
    <x v="1"/>
    <n v="2025"/>
    <n v="194"/>
    <x v="13"/>
    <x v="2"/>
    <x v="2"/>
    <n v="2294.71"/>
    <n v="2294.71"/>
    <n v="626.45579999999995"/>
    <n v="183.57"/>
    <n v="350"/>
    <n v="80"/>
    <n v="0"/>
    <n v="0"/>
    <n v="3534.7357999999999"/>
    <n v="73.709999999999994"/>
    <n v="1477999.27"/>
    <n v="2.3915680486093879E-3"/>
  </r>
  <r>
    <s v="FOLHA-FILIAL"/>
    <x v="0"/>
    <x v="1"/>
    <n v="2025"/>
    <n v="187"/>
    <x v="14"/>
    <x v="3"/>
    <x v="3"/>
    <n v="2195.4699999999998"/>
    <n v="2114.04"/>
    <n v="577.13289999999995"/>
    <n v="169.12"/>
    <n v="308"/>
    <n v="0"/>
    <n v="0"/>
    <n v="0"/>
    <n v="3249.7229000000002"/>
    <n v="21.26"/>
    <n v="1477999.27"/>
    <n v="2.1987310724449812E-3"/>
  </r>
  <r>
    <s v="FOLHA-FILIAL"/>
    <x v="0"/>
    <x v="1"/>
    <n v="2025"/>
    <n v="198"/>
    <x v="15"/>
    <x v="3"/>
    <x v="6"/>
    <n v="1663.78"/>
    <n v="1158.3499999999999"/>
    <n v="316.2296"/>
    <n v="129.72"/>
    <n v="336"/>
    <n v="80"/>
    <n v="0"/>
    <n v="0"/>
    <n v="2525.7296000000001"/>
    <n v="59.49"/>
    <n v="1477999.27"/>
    <n v="1.7088841660929913E-3"/>
  </r>
  <r>
    <s v="FOLHA-FILIAL"/>
    <x v="0"/>
    <x v="1"/>
    <n v="2025"/>
    <n v="182"/>
    <x v="16"/>
    <x v="2"/>
    <x v="2"/>
    <n v="2281.73"/>
    <n v="0"/>
    <n v="0"/>
    <n v="182.53"/>
    <n v="0"/>
    <n v="0"/>
    <n v="0"/>
    <n v="0"/>
    <n v="2464.2600000000002"/>
    <n v="0"/>
    <n v="1477999.27"/>
    <n v="1.6672944635486864E-3"/>
  </r>
  <r>
    <s v="FOLHA-FILIAL"/>
    <x v="0"/>
    <x v="1"/>
    <n v="2025"/>
    <n v="197"/>
    <x v="17"/>
    <x v="2"/>
    <x v="2"/>
    <n v="2293.23"/>
    <n v="2293.23"/>
    <n v="626.05179999999996"/>
    <n v="183.45"/>
    <n v="350"/>
    <n v="80"/>
    <n v="0"/>
    <n v="0"/>
    <n v="3532.7318"/>
    <n v="72.23"/>
    <n v="1477999.27"/>
    <n v="2.3902121345432056E-3"/>
  </r>
  <r>
    <s v="FOLHA-FILIAL"/>
    <x v="0"/>
    <x v="1"/>
    <n v="2025"/>
    <n v="155"/>
    <x v="18"/>
    <x v="2"/>
    <x v="2"/>
    <n v="2252.69"/>
    <n v="2250.9499999999998"/>
    <n v="614.50940000000003"/>
    <n v="180.07"/>
    <n v="450"/>
    <n v="0"/>
    <n v="0"/>
    <n v="0"/>
    <n v="3497.2694000000001"/>
    <n v="31.69"/>
    <n v="1477999.27"/>
    <n v="2.3662185908928089E-3"/>
  </r>
  <r>
    <s v="FOLHA-FILIAL"/>
    <x v="0"/>
    <x v="1"/>
    <n v="2025"/>
    <n v="116"/>
    <x v="19"/>
    <x v="4"/>
    <x v="7"/>
    <n v="2242.69"/>
    <n v="2116.23"/>
    <n v="577.73080000000004"/>
    <n v="169.29"/>
    <n v="350"/>
    <n v="0"/>
    <n v="0"/>
    <n v="0"/>
    <n v="3339.7107999999998"/>
    <n v="4.46"/>
    <n v="1477999.27"/>
    <n v="2.2596159942622975E-3"/>
  </r>
  <r>
    <s v="FOLHA-FILIAL"/>
    <x v="0"/>
    <x v="1"/>
    <n v="2025"/>
    <n v="203"/>
    <x v="34"/>
    <x v="2"/>
    <x v="2"/>
    <n v="1578.32"/>
    <n v="1557.84"/>
    <n v="425.2903"/>
    <n v="124.62"/>
    <n v="238"/>
    <n v="0"/>
    <n v="0"/>
    <n v="0"/>
    <n v="2366.2303000000002"/>
    <n v="23.62"/>
    <n v="1477999.27"/>
    <n v="1.600968530924917E-3"/>
  </r>
  <r>
    <s v="FOLHA-FILIAL"/>
    <x v="0"/>
    <x v="1"/>
    <n v="2025"/>
    <n v="192"/>
    <x v="20"/>
    <x v="4"/>
    <x v="8"/>
    <n v="2473.87"/>
    <n v="2404.08"/>
    <n v="656.31380000000001"/>
    <n v="192.32"/>
    <n v="350"/>
    <n v="0"/>
    <n v="0"/>
    <n v="216.8"/>
    <n v="3889.3038000000001"/>
    <n v="48.37"/>
    <n v="1477999.27"/>
    <n v="2.6314653321851773E-3"/>
  </r>
  <r>
    <s v="FOLHA-FILIAL"/>
    <x v="0"/>
    <x v="1"/>
    <n v="2025"/>
    <n v="173"/>
    <x v="21"/>
    <x v="4"/>
    <x v="1"/>
    <n v="2085.96"/>
    <n v="1753.96"/>
    <n v="478.83109999999999"/>
    <n v="140.31"/>
    <n v="350"/>
    <n v="0"/>
    <n v="0"/>
    <n v="0"/>
    <n v="3055.1010999999999"/>
    <n v="7.75"/>
    <n v="1477999.27"/>
    <n v="2.067051819315175E-3"/>
  </r>
  <r>
    <s v="FOLHA-FILIAL"/>
    <x v="0"/>
    <x v="1"/>
    <n v="2025"/>
    <n v="154"/>
    <x v="22"/>
    <x v="1"/>
    <x v="9"/>
    <n v="2007.03"/>
    <n v="2004.97"/>
    <n v="547.35680000000002"/>
    <n v="160.38999999999999"/>
    <n v="294"/>
    <n v="0"/>
    <n v="0"/>
    <n v="0"/>
    <n v="3008.7768000000001"/>
    <n v="32.03"/>
    <n v="1477999.27"/>
    <n v="2.0357092666223034E-3"/>
  </r>
  <r>
    <s v="FOLHA-FILIAL"/>
    <x v="0"/>
    <x v="1"/>
    <n v="2025"/>
    <n v="196"/>
    <x v="23"/>
    <x v="3"/>
    <x v="6"/>
    <n v="2329.16"/>
    <n v="2329.16"/>
    <n v="635.86069999999995"/>
    <n v="186.33"/>
    <n v="350"/>
    <n v="80"/>
    <n v="0"/>
    <n v="0"/>
    <n v="3581.3507"/>
    <n v="354.16"/>
    <n v="1477999.27"/>
    <n v="2.4231072049176322E-3"/>
  </r>
  <r>
    <s v="FOLHA-FILIAL"/>
    <x v="0"/>
    <x v="1"/>
    <n v="2025"/>
    <n v="177"/>
    <x v="24"/>
    <x v="4"/>
    <x v="9"/>
    <n v="2007.03"/>
    <n v="1848.44"/>
    <n v="504.6241"/>
    <n v="147.87"/>
    <n v="266"/>
    <n v="0"/>
    <n v="0"/>
    <n v="0"/>
    <n v="2925.5241000000001"/>
    <n v="32.03"/>
    <n v="1477999.27"/>
    <n v="1.9793813024007786E-3"/>
  </r>
  <r>
    <s v="FOLHA-FILIAL"/>
    <x v="0"/>
    <x v="1"/>
    <n v="2025"/>
    <n v="199"/>
    <x v="25"/>
    <x v="3"/>
    <x v="10"/>
    <n v="1975"/>
    <n v="1727.41"/>
    <n v="471.5829"/>
    <n v="138.19"/>
    <n v="336"/>
    <n v="80"/>
    <n v="0"/>
    <n v="0"/>
    <n v="3000.7728999999999"/>
    <n v="0"/>
    <n v="1477999.27"/>
    <n v="2.0302939188867118E-3"/>
  </r>
  <r>
    <s v="FOLHA-FILIAL"/>
    <x v="0"/>
    <x v="1"/>
    <n v="2025"/>
    <n v="2001"/>
    <x v="26"/>
    <x v="3"/>
    <x v="10"/>
    <n v="852.92"/>
    <n v="0"/>
    <n v="0"/>
    <n v="0"/>
    <n v="0"/>
    <n v="0"/>
    <n v="0"/>
    <n v="306.8"/>
    <n v="1159.72"/>
    <n v="0"/>
    <n v="1477999.27"/>
    <n v="7.8465532665655509E-4"/>
  </r>
  <r>
    <s v="FOLHA-FILIAL"/>
    <x v="0"/>
    <x v="1"/>
    <n v="2025"/>
    <n v="2002"/>
    <x v="27"/>
    <x v="3"/>
    <x v="10"/>
    <n v="900.4"/>
    <n v="0"/>
    <n v="0"/>
    <n v="0"/>
    <n v="0"/>
    <n v="80"/>
    <n v="0"/>
    <n v="306.8"/>
    <n v="1287.2"/>
    <n v="0"/>
    <n v="1477999.27"/>
    <n v="8.709070607321748E-4"/>
  </r>
  <r>
    <s v="FOLHA-FILIAL"/>
    <x v="0"/>
    <x v="1"/>
    <n v="2025"/>
    <n v="2003"/>
    <x v="28"/>
    <x v="3"/>
    <x v="10"/>
    <n v="861.4"/>
    <n v="0"/>
    <n v="0"/>
    <n v="0"/>
    <n v="0"/>
    <n v="80"/>
    <n v="0"/>
    <n v="0"/>
    <n v="941.4"/>
    <n v="0"/>
    <n v="1477999.27"/>
    <n v="6.369421278536897E-4"/>
  </r>
  <r>
    <s v="FOLHA-FILIAL"/>
    <x v="0"/>
    <x v="1"/>
    <n v="2025"/>
    <n v="2004"/>
    <x v="29"/>
    <x v="3"/>
    <x v="10"/>
    <n v="868.97"/>
    <n v="0"/>
    <n v="0"/>
    <n v="0"/>
    <n v="0"/>
    <n v="0"/>
    <n v="0"/>
    <n v="306.8"/>
    <n v="1175.77"/>
    <n v="0"/>
    <n v="1477999.27"/>
    <n v="7.955146013028815E-4"/>
  </r>
  <r>
    <s v="FOLHA-FILIAL"/>
    <x v="0"/>
    <x v="1"/>
    <n v="2025"/>
    <n v="201"/>
    <x v="30"/>
    <x v="4"/>
    <x v="8"/>
    <n v="2536.34"/>
    <n v="2279.8200000000002"/>
    <n v="622.39089999999999"/>
    <n v="182.38"/>
    <n v="642"/>
    <n v="0"/>
    <n v="0"/>
    <n v="0"/>
    <n v="3983.1109000000001"/>
    <n v="110.84"/>
    <n v="1477999.27"/>
    <n v="2.6949342539255789E-3"/>
  </r>
  <r>
    <s v="FOLHA-FILIAL"/>
    <x v="0"/>
    <x v="1"/>
    <n v="2025"/>
    <n v="200"/>
    <x v="31"/>
    <x v="2"/>
    <x v="2"/>
    <n v="2249.9299999999998"/>
    <n v="2213.42"/>
    <n v="604.26369999999997"/>
    <n v="177.07"/>
    <n v="640"/>
    <n v="0"/>
    <n v="0"/>
    <n v="0"/>
    <n v="3671.2637"/>
    <n v="28.93"/>
    <n v="1477999.27"/>
    <n v="2.4839414568858342E-3"/>
  </r>
  <r>
    <s v="FOLHA-FILIAL"/>
    <x v="0"/>
    <x v="2"/>
    <n v="2025"/>
    <n v="111"/>
    <x v="0"/>
    <x v="0"/>
    <x v="0"/>
    <n v="2575.67"/>
    <n v="2575.67"/>
    <n v="703.15790000000004"/>
    <n v="206.05"/>
    <n v="312"/>
    <m/>
    <n v="122.84"/>
    <m/>
    <n v="3919.7179000000001"/>
    <n v="213.29"/>
    <n v="1519761.37"/>
    <n v="2.5791666950976651E-3"/>
  </r>
  <r>
    <s v="FOLHA-FILIAL"/>
    <x v="0"/>
    <x v="2"/>
    <n v="2025"/>
    <n v="139"/>
    <x v="1"/>
    <x v="1"/>
    <x v="1"/>
    <n v="2588.5"/>
    <n v="2577.12"/>
    <n v="703.55380000000002"/>
    <n v="206.16"/>
    <n v="336"/>
    <n v="80"/>
    <m/>
    <m/>
    <n v="3914.2138"/>
    <n v="502.84"/>
    <n v="1519761.37"/>
    <n v="2.575544975195678E-3"/>
  </r>
  <r>
    <s v="FOLHA-FILIAL"/>
    <x v="0"/>
    <x v="2"/>
    <n v="2025"/>
    <n v="206"/>
    <x v="35"/>
    <x v="3"/>
    <x v="6"/>
    <n v="2232.6799999999998"/>
    <n v="2218.59"/>
    <n v="605.67510000000004"/>
    <n v="177.48"/>
    <n v="378"/>
    <m/>
    <m/>
    <m/>
    <n v="3393.8350999999998"/>
    <n v="227.51"/>
    <n v="1519761.37"/>
    <n v="2.2331368180519024E-3"/>
  </r>
  <r>
    <s v="FOLHA-FILIAL"/>
    <x v="0"/>
    <x v="2"/>
    <n v="2025"/>
    <n v="202"/>
    <x v="2"/>
    <x v="2"/>
    <x v="2"/>
    <n v="2062.33"/>
    <n v="1560.73"/>
    <n v="426.07929999999999"/>
    <n v="124.85"/>
    <n v="469"/>
    <m/>
    <m/>
    <m/>
    <n v="3082.2593000000002"/>
    <n v="0"/>
    <n v="1519761.37"/>
    <n v="2.0281205660596571E-3"/>
  </r>
  <r>
    <s v="FOLHA-FILIAL"/>
    <x v="0"/>
    <x v="2"/>
    <n v="2025"/>
    <n v="183"/>
    <x v="3"/>
    <x v="2"/>
    <x v="2"/>
    <n v="2590.13"/>
    <n v="2568.69"/>
    <n v="701.25239999999997"/>
    <n v="205.49"/>
    <n v="340"/>
    <m/>
    <m/>
    <m/>
    <n v="3836.8724000000002"/>
    <n v="369.13"/>
    <n v="1519761.37"/>
    <n v="2.524654492303617E-3"/>
  </r>
  <r>
    <s v="FOLHA-FILIAL"/>
    <x v="0"/>
    <x v="2"/>
    <n v="2025"/>
    <n v="210"/>
    <x v="36"/>
    <x v="2"/>
    <x v="2"/>
    <n v="602.86"/>
    <n v="599"/>
    <n v="163.52699999999999"/>
    <n v="47.92"/>
    <m/>
    <m/>
    <m/>
    <n v="306.8"/>
    <n v="1121.107"/>
    <n v="10.59"/>
    <n v="1519761.37"/>
    <n v="7.3768620661808244E-4"/>
  </r>
  <r>
    <s v="FOLHA-FILIAL"/>
    <x v="0"/>
    <x v="2"/>
    <n v="2025"/>
    <n v="205"/>
    <x v="32"/>
    <x v="1"/>
    <x v="9"/>
    <n v="1307.72"/>
    <n v="955.45"/>
    <n v="260.83789999999999"/>
    <n v="76.430000000000007"/>
    <n v="336"/>
    <n v="80"/>
    <m/>
    <m/>
    <n v="2060.9877999999999"/>
    <n v="0"/>
    <n v="1519761.37"/>
    <n v="1.3561259620646891E-3"/>
  </r>
  <r>
    <s v="FOLHA-FILIAL"/>
    <x v="0"/>
    <x v="2"/>
    <n v="2025"/>
    <n v="123"/>
    <x v="5"/>
    <x v="2"/>
    <x v="2"/>
    <n v="2570.92"/>
    <n v="0"/>
    <n v="0"/>
    <n v="0"/>
    <m/>
    <m/>
    <m/>
    <m/>
    <n v="2570.92"/>
    <n v="0"/>
    <n v="1519761.37"/>
    <n v="1.6916603163824333E-3"/>
  </r>
  <r>
    <s v="FOLHA-FILIAL"/>
    <x v="0"/>
    <x v="2"/>
    <n v="2025"/>
    <n v="16"/>
    <x v="6"/>
    <x v="1"/>
    <x v="4"/>
    <n v="2824.08"/>
    <n v="2824.08"/>
    <n v="770.97379999999998"/>
    <n v="225.92"/>
    <n v="336"/>
    <n v="80"/>
    <m/>
    <m/>
    <n v="4236.9737999999998"/>
    <n v="502.78"/>
    <n v="1519761.37"/>
    <n v="2.7879204746466212E-3"/>
  </r>
  <r>
    <s v="FOLHA-FILIAL"/>
    <x v="0"/>
    <x v="2"/>
    <n v="2025"/>
    <n v="195"/>
    <x v="8"/>
    <x v="2"/>
    <x v="2"/>
    <n v="2397.14"/>
    <n v="0"/>
    <n v="0"/>
    <n v="0"/>
    <m/>
    <m/>
    <m/>
    <m/>
    <n v="2397.14"/>
    <n v="0"/>
    <n v="1519761.37"/>
    <n v="1.5773134173031386E-3"/>
  </r>
  <r>
    <s v="FOLHA-FILIAL"/>
    <x v="0"/>
    <x v="2"/>
    <n v="2025"/>
    <n v="189"/>
    <x v="10"/>
    <x v="2"/>
    <x v="2"/>
    <n v="2403.65"/>
    <n v="2133.1999999999998"/>
    <n v="582.36360000000002"/>
    <n v="0"/>
    <n v="328"/>
    <m/>
    <m/>
    <m/>
    <n v="3314.0136000000002"/>
    <n v="182.65"/>
    <n v="1519761.37"/>
    <n v="2.1806144473852495E-3"/>
  </r>
  <r>
    <s v="FOLHA-FILIAL"/>
    <x v="0"/>
    <x v="2"/>
    <n v="2025"/>
    <n v="147"/>
    <x v="11"/>
    <x v="2"/>
    <x v="2"/>
    <n v="2493.7800000000002"/>
    <n v="2489.2399999999998"/>
    <n v="679.5625"/>
    <n v="199.13"/>
    <n v="359"/>
    <n v="80"/>
    <m/>
    <m/>
    <n v="3811.4724999999999"/>
    <n v="272.77999999999997"/>
    <n v="1519761.37"/>
    <n v="2.5079414408329119E-3"/>
  </r>
  <r>
    <s v="FOLHA-FILIAL"/>
    <x v="0"/>
    <x v="2"/>
    <n v="2025"/>
    <n v="204"/>
    <x v="33"/>
    <x v="1"/>
    <x v="9"/>
    <n v="2197.86"/>
    <n v="2197.86"/>
    <n v="600.01580000000001"/>
    <n v="175.82"/>
    <n v="336"/>
    <n v="80"/>
    <m/>
    <m/>
    <n v="3389.6958"/>
    <n v="222.86"/>
    <n v="1519761.37"/>
    <n v="2.23041317335234E-3"/>
  </r>
  <r>
    <s v="FOLHA-FILIAL"/>
    <x v="0"/>
    <x v="2"/>
    <n v="2025"/>
    <n v="194"/>
    <x v="13"/>
    <x v="2"/>
    <x v="2"/>
    <n v="2568.96"/>
    <n v="2568.96"/>
    <n v="701.3261"/>
    <n v="205.51"/>
    <n v="440"/>
    <n v="80"/>
    <m/>
    <m/>
    <n v="3995.7961"/>
    <n v="347.96"/>
    <n v="1519761.37"/>
    <n v="2.6292259817079044E-3"/>
  </r>
  <r>
    <s v="FOLHA-FILIAL"/>
    <x v="0"/>
    <x v="2"/>
    <n v="2025"/>
    <n v="187"/>
    <x v="14"/>
    <x v="3"/>
    <x v="3"/>
    <n v="2634.12"/>
    <n v="2612.25"/>
    <n v="713.14430000000004"/>
    <n v="208.98"/>
    <n v="657"/>
    <m/>
    <m/>
    <n v="306.8"/>
    <n v="4520.0442000000003"/>
    <n v="299.88"/>
    <n v="1519761.37"/>
    <n v="2.9741802491005543E-3"/>
  </r>
  <r>
    <s v="FOLHA-FILIAL"/>
    <x v="0"/>
    <x v="2"/>
    <n v="2025"/>
    <n v="182"/>
    <x v="16"/>
    <x v="2"/>
    <x v="2"/>
    <n v="2281.73"/>
    <n v="0"/>
    <n v="0"/>
    <n v="182.53"/>
    <m/>
    <m/>
    <m/>
    <m/>
    <n v="2464.2600000000002"/>
    <n v="0"/>
    <n v="1519761.37"/>
    <n v="1.6214782456274695E-3"/>
  </r>
  <r>
    <s v="FOLHA-FILIAL"/>
    <x v="0"/>
    <x v="2"/>
    <n v="2025"/>
    <n v="197"/>
    <x v="17"/>
    <x v="2"/>
    <x v="2"/>
    <n v="2667.98"/>
    <n v="2667.98"/>
    <n v="728.35850000000005"/>
    <n v="213.43"/>
    <n v="342"/>
    <n v="80"/>
    <m/>
    <m/>
    <n v="4031.7685000000001"/>
    <n v="446.98"/>
    <n v="1519761.37"/>
    <n v="2.6528957898173185E-3"/>
  </r>
  <r>
    <s v="FOLHA-FILIAL"/>
    <x v="0"/>
    <x v="2"/>
    <n v="2025"/>
    <n v="155"/>
    <x v="18"/>
    <x v="2"/>
    <x v="2"/>
    <n v="2633.3"/>
    <n v="2633.3"/>
    <n v="718.89089999999999"/>
    <n v="210.66"/>
    <n v="342"/>
    <n v="80"/>
    <m/>
    <m/>
    <n v="3984.8508999999999"/>
    <n v="412.3"/>
    <n v="1519761.37"/>
    <n v="2.6220240747401023E-3"/>
  </r>
  <r>
    <s v="FOLHA-FILIAL"/>
    <x v="0"/>
    <x v="2"/>
    <n v="2025"/>
    <n v="116"/>
    <x v="19"/>
    <x v="4"/>
    <x v="7"/>
    <n v="4705.7299999999996"/>
    <n v="3191.2"/>
    <n v="871.19759999999997"/>
    <n v="255.29"/>
    <n v="322"/>
    <m/>
    <m/>
    <m/>
    <n v="6154.2175999999999"/>
    <n v="0"/>
    <n v="1519761.37"/>
    <n v="4.0494631074877233E-3"/>
  </r>
  <r>
    <s v="FOLHA-FILIAL"/>
    <x v="0"/>
    <x v="2"/>
    <n v="2025"/>
    <n v="203"/>
    <x v="34"/>
    <x v="2"/>
    <x v="2"/>
    <n v="2494.84"/>
    <n v="2384.0500000000002"/>
    <n v="650.84569999999997"/>
    <n v="190.72"/>
    <n v="350"/>
    <n v="80"/>
    <m/>
    <m/>
    <n v="3766.4056999999998"/>
    <n v="273.83999999999997"/>
    <n v="1519761.37"/>
    <n v="2.4782875287848644E-3"/>
  </r>
  <r>
    <s v="FOLHA-FILIAL"/>
    <x v="0"/>
    <x v="2"/>
    <n v="2025"/>
    <n v="209"/>
    <x v="37"/>
    <x v="2"/>
    <x v="2"/>
    <n v="1294.8699999999999"/>
    <n v="1294.8699999999999"/>
    <n v="353.49950000000001"/>
    <n v="103.58"/>
    <m/>
    <m/>
    <m/>
    <m/>
    <n v="1751.9494999999999"/>
    <n v="258.39999999999998"/>
    <n v="1519761.37"/>
    <n v="1.1527793406145067E-3"/>
  </r>
  <r>
    <s v="FOLHA-FILIAL"/>
    <x v="0"/>
    <x v="2"/>
    <n v="2025"/>
    <n v="208"/>
    <x v="38"/>
    <x v="3"/>
    <x v="6"/>
    <n v="1128.8800000000001"/>
    <n v="1123.22"/>
    <n v="306.63909999999998"/>
    <n v="89.85"/>
    <m/>
    <m/>
    <m/>
    <n v="306.8"/>
    <n v="1832.1691000000001"/>
    <n v="207.21"/>
    <n v="1519761.37"/>
    <n v="1.2055636471402086E-3"/>
  </r>
  <r>
    <s v="FOLHA-FILIAL"/>
    <x v="0"/>
    <x v="2"/>
    <n v="2025"/>
    <n v="192"/>
    <x v="20"/>
    <x v="4"/>
    <x v="8"/>
    <n v="3679.83"/>
    <n v="1697.25"/>
    <n v="463.34930000000003"/>
    <n v="135.77000000000001"/>
    <n v="336"/>
    <m/>
    <m/>
    <m/>
    <n v="4614.9492"/>
    <n v="24.02"/>
    <n v="1519761.37"/>
    <n v="3.0366275529164159E-3"/>
  </r>
  <r>
    <s v="FOLHA-FILIAL"/>
    <x v="0"/>
    <x v="2"/>
    <n v="2025"/>
    <n v="173"/>
    <x v="21"/>
    <x v="4"/>
    <x v="1"/>
    <n v="2078.21"/>
    <n v="1948.32"/>
    <n v="531.89139999999998"/>
    <n v="155.86000000000001"/>
    <n v="322"/>
    <m/>
    <m/>
    <m/>
    <n v="3087.9614000000001"/>
    <n v="0"/>
    <n v="1519761.37"/>
    <n v="2.0318725169333656E-3"/>
  </r>
  <r>
    <s v="FOLHA-FILIAL"/>
    <x v="0"/>
    <x v="2"/>
    <n v="2025"/>
    <n v="154"/>
    <x v="22"/>
    <x v="1"/>
    <x v="9"/>
    <n v="2251.0500000000002"/>
    <n v="2251.0500000000002"/>
    <n v="614.5367"/>
    <n v="180.08"/>
    <n v="322"/>
    <m/>
    <m/>
    <m/>
    <n v="3367.6667000000002"/>
    <n v="276.05"/>
    <n v="1519761.37"/>
    <n v="2.2159180490289735E-3"/>
  </r>
  <r>
    <s v="FOLHA-FILIAL"/>
    <x v="0"/>
    <x v="2"/>
    <n v="2025"/>
    <n v="207"/>
    <x v="39"/>
    <x v="3"/>
    <x v="6"/>
    <n v="1333.11"/>
    <n v="1323.86"/>
    <n v="361.41379999999998"/>
    <n v="105.9"/>
    <m/>
    <m/>
    <m/>
    <m/>
    <n v="1800.4238"/>
    <n v="345.61"/>
    <n v="1519761.37"/>
    <n v="1.1846753151779346E-3"/>
  </r>
  <r>
    <s v="FOLHA-FILIAL"/>
    <x v="0"/>
    <x v="2"/>
    <n v="2025"/>
    <n v="196"/>
    <x v="23"/>
    <x v="3"/>
    <x v="6"/>
    <n v="2375.75"/>
    <n v="2375.75"/>
    <n v="648.57979999999998"/>
    <n v="190.06"/>
    <n v="336"/>
    <n v="80"/>
    <m/>
    <m/>
    <n v="3630.3897999999999"/>
    <n v="400.75"/>
    <n v="1519761.37"/>
    <n v="2.388789333420154E-3"/>
  </r>
  <r>
    <s v="FOLHA-FILIAL"/>
    <x v="0"/>
    <x v="2"/>
    <n v="2025"/>
    <n v="177"/>
    <x v="24"/>
    <x v="4"/>
    <x v="9"/>
    <n v="2133"/>
    <n v="2089.0100000000002"/>
    <n v="570.29970000000003"/>
    <n v="167.12"/>
    <n v="322"/>
    <m/>
    <m/>
    <m/>
    <n v="3192.4196999999999"/>
    <n v="158"/>
    <n v="1519761.37"/>
    <n v="2.100605919467475E-3"/>
  </r>
  <r>
    <s v="FOLHA-FILIAL"/>
    <x v="0"/>
    <x v="2"/>
    <n v="2025"/>
    <n v="199"/>
    <x v="25"/>
    <x v="3"/>
    <x v="10"/>
    <n v="1164.78"/>
    <n v="345.01"/>
    <n v="94.187700000000007"/>
    <n v="27.6"/>
    <m/>
    <m/>
    <m/>
    <m/>
    <n v="1286.5677000000001"/>
    <n v="0"/>
    <n v="1519761.37"/>
    <n v="8.4655904235807764E-4"/>
  </r>
  <r>
    <s v="FOLHA-FILIAL"/>
    <x v="0"/>
    <x v="2"/>
    <n v="2025"/>
    <n v="2001"/>
    <x v="26"/>
    <x v="3"/>
    <x v="10"/>
    <n v="1006.7"/>
    <n v="0"/>
    <n v="0"/>
    <m/>
    <m/>
    <m/>
    <m/>
    <m/>
    <n v="1006.7"/>
    <n v="0"/>
    <n v="1519761.37"/>
    <n v="6.6240662506114362E-4"/>
  </r>
  <r>
    <s v="FOLHA-FILIAL"/>
    <x v="0"/>
    <x v="2"/>
    <n v="2025"/>
    <n v="2003"/>
    <x v="28"/>
    <x v="3"/>
    <x v="10"/>
    <n v="971.27"/>
    <m/>
    <n v="0"/>
    <m/>
    <m/>
    <n v="80"/>
    <m/>
    <n v="200"/>
    <n v="1251.27"/>
    <n v="0"/>
    <n v="1519761.37"/>
    <n v="8.2333320526498176E-4"/>
  </r>
  <r>
    <s v="FOLHA-FILIAL"/>
    <x v="0"/>
    <x v="2"/>
    <n v="2025"/>
    <n v="2004"/>
    <x v="29"/>
    <x v="3"/>
    <x v="10"/>
    <n v="983.5"/>
    <n v="0"/>
    <n v="0"/>
    <m/>
    <m/>
    <n v="80"/>
    <m/>
    <n v="306.8"/>
    <n v="1370.3"/>
    <n v="0"/>
    <n v="1519761.37"/>
    <n v="9.0165471175254308E-4"/>
  </r>
  <r>
    <s v="FOLHA-FILIAL"/>
    <x v="0"/>
    <x v="2"/>
    <n v="2025"/>
    <n v="201"/>
    <x v="30"/>
    <x v="4"/>
    <x v="8"/>
    <n v="2979.4"/>
    <n v="2885.47"/>
    <n v="787.73329999999999"/>
    <n v="230.83"/>
    <n v="643"/>
    <m/>
    <m/>
    <m/>
    <n v="4640.9633000000003"/>
    <n v="553.9"/>
    <n v="1519761.37"/>
    <n v="3.0537447533621675E-3"/>
  </r>
  <r>
    <s v="FOLHA-FILIAL"/>
    <x v="0"/>
    <x v="2"/>
    <n v="2025"/>
    <n v="200"/>
    <x v="31"/>
    <x v="2"/>
    <x v="2"/>
    <n v="2434.09"/>
    <n v="2231.58"/>
    <n v="609.22130000000004"/>
    <n v="178.52"/>
    <n v="352"/>
    <m/>
    <m/>
    <m/>
    <n v="3573.8312999999998"/>
    <n v="213.09"/>
    <n v="1519761.37"/>
    <n v="2.3515740105961502E-3"/>
  </r>
  <r>
    <s v="FOLHA-FILIAL"/>
    <x v="0"/>
    <x v="2"/>
    <n v="2025"/>
    <n v="25"/>
    <x v="7"/>
    <x v="4"/>
    <x v="4"/>
    <n v="2652.05"/>
    <m/>
    <m/>
    <m/>
    <n v="400"/>
    <n v="80"/>
    <m/>
    <m/>
    <n v="3132.05"/>
    <n v="0"/>
    <n v="1519761.37"/>
    <n v="2.0608827555604996E-3"/>
  </r>
  <r>
    <s v="FOLHA-ARTUR"/>
    <x v="1"/>
    <x v="0"/>
    <n v="2025"/>
    <n v="151"/>
    <x v="40"/>
    <x v="3"/>
    <x v="3"/>
    <n v="2212.33"/>
    <n v="2047.34"/>
    <n v="558.92380000000003"/>
    <n v="163.78"/>
    <n v="308"/>
    <n v="0"/>
    <n v="0"/>
    <n v="53.9"/>
    <n v="3296.9337999999998"/>
    <n v="21.16"/>
    <n v="1657043.9"/>
    <n v="1.9896478421603677E-3"/>
  </r>
  <r>
    <s v="FOLHA-ARTUR"/>
    <x v="1"/>
    <x v="0"/>
    <n v="2025"/>
    <n v="170"/>
    <x v="41"/>
    <x v="4"/>
    <x v="9"/>
    <n v="2088.19"/>
    <n v="2088.19"/>
    <n v="570.07590000000005"/>
    <n v="167.05"/>
    <n v="322"/>
    <n v="80"/>
    <n v="0"/>
    <n v="0"/>
    <n v="3227.3159000000001"/>
    <n v="4.1900000000000004"/>
    <n v="1657043.9"/>
    <n v="1.9476345014154423E-3"/>
  </r>
  <r>
    <s v="FOLHA-ARTUR"/>
    <x v="1"/>
    <x v="0"/>
    <n v="2025"/>
    <n v="47"/>
    <x v="42"/>
    <x v="6"/>
    <x v="11"/>
    <n v="8157.41"/>
    <n v="8157.41"/>
    <n v="1631.482"/>
    <n v="0"/>
    <n v="0"/>
    <n v="0"/>
    <n v="0"/>
    <n v="0"/>
    <n v="9788.8919999999998"/>
    <n v="0"/>
    <n v="1657043.9"/>
    <n v="5.9074427660003462E-3"/>
  </r>
  <r>
    <s v="FOLHA-ARTUR"/>
    <x v="1"/>
    <x v="0"/>
    <n v="2025"/>
    <n v="229"/>
    <x v="43"/>
    <x v="3"/>
    <x v="6"/>
    <n v="2081.59"/>
    <n v="2004.12"/>
    <n v="547.12480000000005"/>
    <n v="160.32"/>
    <n v="322"/>
    <n v="0"/>
    <n v="0"/>
    <n v="0"/>
    <n v="3111.0347999999999"/>
    <n v="3.85"/>
    <n v="1657043.9"/>
    <n v="1.87746067560431E-3"/>
  </r>
  <r>
    <s v="FOLHA-ARTUR"/>
    <x v="1"/>
    <x v="0"/>
    <n v="2025"/>
    <n v="231"/>
    <x v="44"/>
    <x v="1"/>
    <x v="9"/>
    <n v="2127.86"/>
    <n v="2127.86"/>
    <n v="580.9058"/>
    <n v="170.22"/>
    <n v="308"/>
    <n v="80"/>
    <n v="0"/>
    <n v="306.8"/>
    <n v="3573.7858000000001"/>
    <n v="59.49"/>
    <n v="1657043.9"/>
    <n v="2.1567236571101104E-3"/>
  </r>
  <r>
    <s v="FOLHA-ARTUR"/>
    <x v="1"/>
    <x v="0"/>
    <n v="2025"/>
    <n v="244"/>
    <x v="45"/>
    <x v="2"/>
    <x v="2"/>
    <n v="2227.85"/>
    <n v="1798.21"/>
    <n v="490.91129999999998"/>
    <n v="143.85"/>
    <n v="308"/>
    <n v="0"/>
    <n v="0"/>
    <n v="306.8"/>
    <n v="3477.4113000000002"/>
    <n v="6.85"/>
    <n v="1657043.9"/>
    <n v="2.0985631883379797E-3"/>
  </r>
  <r>
    <s v="FOLHA-ARTUR"/>
    <x v="1"/>
    <x v="0"/>
    <n v="2025"/>
    <n v="12"/>
    <x v="46"/>
    <x v="1"/>
    <x v="4"/>
    <n v="2832.66"/>
    <n v="2832.66"/>
    <n v="773.31619999999998"/>
    <n v="226.61"/>
    <n v="168"/>
    <n v="0"/>
    <n v="122.84"/>
    <n v="306.8"/>
    <n v="4430.2262000000001"/>
    <n v="355.9"/>
    <n v="1657043.9"/>
    <n v="2.6735720037350851E-3"/>
  </r>
  <r>
    <s v="FOLHA-ARTUR"/>
    <x v="1"/>
    <x v="0"/>
    <n v="2025"/>
    <n v="13"/>
    <x v="47"/>
    <x v="5"/>
    <x v="5"/>
    <n v="2687.76"/>
    <n v="2687.76"/>
    <n v="733.75850000000003"/>
    <n v="215.02"/>
    <n v="336"/>
    <n v="0"/>
    <n v="122.84"/>
    <n v="0"/>
    <n v="4095.3784999999998"/>
    <n v="45.57"/>
    <n v="1657043.9"/>
    <n v="2.4714966694605986E-3"/>
  </r>
  <r>
    <s v="FOLHA-ARTUR"/>
    <x v="1"/>
    <x v="0"/>
    <n v="2025"/>
    <n v="238"/>
    <x v="48"/>
    <x v="2"/>
    <x v="2"/>
    <n v="2348.5"/>
    <n v="2348.5"/>
    <n v="641.14049999999997"/>
    <n v="187.88"/>
    <n v="294"/>
    <n v="0"/>
    <n v="0"/>
    <n v="306.8"/>
    <n v="3778.3204999999998"/>
    <n v="120.81"/>
    <n v="1657043.9"/>
    <n v="2.2801571521430422E-3"/>
  </r>
  <r>
    <s v="FOLHA-ARTUR"/>
    <x v="1"/>
    <x v="0"/>
    <n v="2025"/>
    <n v="223"/>
    <x v="49"/>
    <x v="5"/>
    <x v="12"/>
    <n v="2157.23"/>
    <n v="2142.87"/>
    <n v="585.00350000000003"/>
    <n v="171.42"/>
    <n v="336"/>
    <n v="0"/>
    <n v="122.84"/>
    <n v="0"/>
    <n v="3372.4935"/>
    <n v="87.14"/>
    <n v="1657043.9"/>
    <n v="2.0352469297886442E-3"/>
  </r>
  <r>
    <s v="FOLHA-ARTUR"/>
    <x v="1"/>
    <x v="0"/>
    <n v="2025"/>
    <n v="241"/>
    <x v="50"/>
    <x v="2"/>
    <x v="2"/>
    <n v="0"/>
    <n v="0"/>
    <n v="0"/>
    <n v="0"/>
    <n v="0"/>
    <n v="0"/>
    <n v="0"/>
    <n v="306.8"/>
    <n v="306.8"/>
    <n v="0"/>
    <n v="1657043.9"/>
    <n v="1.8514898730202624E-4"/>
  </r>
  <r>
    <s v="FOLHA-ARTUR"/>
    <x v="1"/>
    <x v="0"/>
    <n v="2025"/>
    <n v="179"/>
    <x v="51"/>
    <x v="1"/>
    <x v="9"/>
    <n v="2455.75"/>
    <n v="2455.75"/>
    <n v="670.41980000000001"/>
    <n v="196.46"/>
    <n v="322"/>
    <n v="80"/>
    <n v="0"/>
    <n v="306.8"/>
    <n v="4031.4297999999999"/>
    <n v="359.11"/>
    <n v="1657043.9"/>
    <n v="2.4329046140539792E-3"/>
  </r>
  <r>
    <s v="FOLHA-ARTUR"/>
    <x v="1"/>
    <x v="0"/>
    <n v="2025"/>
    <n v="204"/>
    <x v="52"/>
    <x v="2"/>
    <x v="2"/>
    <n v="2339.62"/>
    <n v="2339.62"/>
    <n v="638.71630000000005"/>
    <n v="187.16"/>
    <n v="322"/>
    <n v="0"/>
    <n v="0"/>
    <n v="0"/>
    <n v="3487.4962999999998"/>
    <n v="0"/>
    <n v="1657043.9"/>
    <n v="2.1046492853931029E-3"/>
  </r>
  <r>
    <s v="FOLHA-ARTUR"/>
    <x v="1"/>
    <x v="0"/>
    <n v="2025"/>
    <n v="222"/>
    <x v="53"/>
    <x v="7"/>
    <x v="6"/>
    <n v="2103.06"/>
    <n v="2101.44"/>
    <n v="573.69309999999996"/>
    <n v="168.11"/>
    <n v="308"/>
    <n v="80"/>
    <n v="0"/>
    <n v="0"/>
    <n v="3232.8631"/>
    <n v="18.43"/>
    <n v="1657043.9"/>
    <n v="1.9509821797720629E-3"/>
  </r>
  <r>
    <s v="FOLHA-ARTUR"/>
    <x v="1"/>
    <x v="0"/>
    <n v="2025"/>
    <n v="216"/>
    <x v="54"/>
    <x v="4"/>
    <x v="8"/>
    <n v="2594.34"/>
    <n v="2555.5300000000002"/>
    <n v="697.65970000000004"/>
    <n v="204.44"/>
    <n v="322"/>
    <n v="0"/>
    <n v="0"/>
    <n v="0"/>
    <n v="3818.4396999999999"/>
    <n v="35.4"/>
    <n v="1657043.9"/>
    <n v="2.3043684539679368E-3"/>
  </r>
  <r>
    <s v="FOLHA-ARTUR"/>
    <x v="1"/>
    <x v="0"/>
    <n v="2025"/>
    <n v="221"/>
    <x v="55"/>
    <x v="2"/>
    <x v="2"/>
    <n v="2378.34"/>
    <n v="2378.34"/>
    <n v="649.28679999999997"/>
    <n v="190.26"/>
    <n v="294"/>
    <n v="80"/>
    <n v="0"/>
    <n v="0"/>
    <n v="3591.8868000000002"/>
    <n v="32.82"/>
    <n v="1657043.9"/>
    <n v="2.1676473508034401E-3"/>
  </r>
  <r>
    <s v="FOLHA-ARTUR"/>
    <x v="1"/>
    <x v="0"/>
    <n v="2025"/>
    <n v="233"/>
    <x v="56"/>
    <x v="4"/>
    <x v="8"/>
    <n v="0"/>
    <n v="0"/>
    <n v="0"/>
    <n v="0"/>
    <n v="0"/>
    <n v="0"/>
    <n v="0"/>
    <n v="306.8"/>
    <n v="306.8"/>
    <n v="0"/>
    <n v="1657043.9"/>
    <n v="1.8514898730202624E-4"/>
  </r>
  <r>
    <s v="FOLHA-ARTUR"/>
    <x v="1"/>
    <x v="0"/>
    <n v="2025"/>
    <n v="132"/>
    <x v="57"/>
    <x v="3"/>
    <x v="13"/>
    <n v="3436.53"/>
    <n v="3436.53"/>
    <n v="938.17269999999996"/>
    <n v="274.92"/>
    <n v="210"/>
    <n v="0"/>
    <n v="0"/>
    <n v="0"/>
    <n v="4859.6226999999999"/>
    <n v="0"/>
    <n v="1657043.9"/>
    <n v="2.9327060616800801E-3"/>
  </r>
  <r>
    <s v="FOLHA-ARTUR"/>
    <x v="1"/>
    <x v="0"/>
    <n v="2025"/>
    <n v="194"/>
    <x v="58"/>
    <x v="2"/>
    <x v="2"/>
    <n v="2469.65"/>
    <n v="2469.65"/>
    <n v="674.21450000000004"/>
    <n v="197.57"/>
    <n v="294"/>
    <n v="0"/>
    <n v="0"/>
    <n v="306.8"/>
    <n v="3942.2343999999998"/>
    <n v="12.08"/>
    <n v="1657043.9"/>
    <n v="2.379076649689245E-3"/>
  </r>
  <r>
    <s v="FOLHA-ARTUR"/>
    <x v="1"/>
    <x v="0"/>
    <n v="2025"/>
    <n v="242"/>
    <x v="59"/>
    <x v="4"/>
    <x v="8"/>
    <n v="0"/>
    <n v="0"/>
    <n v="0"/>
    <n v="0"/>
    <n v="322"/>
    <n v="0"/>
    <n v="0"/>
    <n v="306.8"/>
    <n v="628.79999999999995"/>
    <n v="0"/>
    <n v="1657043.9"/>
    <n v="3.7947093616530014E-4"/>
  </r>
  <r>
    <s v="FOLHA-ARTUR"/>
    <x v="1"/>
    <x v="0"/>
    <n v="2025"/>
    <n v="228"/>
    <x v="60"/>
    <x v="3"/>
    <x v="10"/>
    <n v="820"/>
    <n v="0"/>
    <n v="0"/>
    <n v="0"/>
    <n v="0"/>
    <n v="80"/>
    <n v="0"/>
    <n v="306.8"/>
    <n v="1206.8"/>
    <n v="29.4"/>
    <n v="1657043.9"/>
    <n v="7.2828486921800925E-4"/>
  </r>
  <r>
    <s v="FOLHA-ARTUR"/>
    <x v="1"/>
    <x v="0"/>
    <n v="2025"/>
    <n v="246"/>
    <x v="61"/>
    <x v="2"/>
    <x v="2"/>
    <n v="2249.3000000000002"/>
    <n v="2249.3000000000002"/>
    <n v="614.05889999999999"/>
    <n v="179.94"/>
    <n v="294"/>
    <n v="0"/>
    <n v="0"/>
    <n v="0"/>
    <n v="3337.2988999999998"/>
    <n v="28.3"/>
    <n v="1657043.9"/>
    <n v="2.0140075347430449E-3"/>
  </r>
  <r>
    <s v="FOLHA-ARTUR"/>
    <x v="1"/>
    <x v="0"/>
    <n v="2025"/>
    <n v="239"/>
    <x v="62"/>
    <x v="1"/>
    <x v="9"/>
    <n v="0"/>
    <n v="0"/>
    <n v="0"/>
    <n v="0"/>
    <n v="0"/>
    <n v="0"/>
    <n v="0"/>
    <n v="165.2"/>
    <n v="165.2"/>
    <n v="0"/>
    <n v="1657043.9"/>
    <n v="9.9695608547244877E-5"/>
  </r>
  <r>
    <s v="FOLHA-ARTUR"/>
    <x v="1"/>
    <x v="0"/>
    <n v="2025"/>
    <n v="165"/>
    <x v="63"/>
    <x v="1"/>
    <x v="9"/>
    <n v="2085.5100000000002"/>
    <n v="2075.37"/>
    <n v="566.57600000000002"/>
    <n v="166.02"/>
    <n v="322"/>
    <n v="0"/>
    <n v="0"/>
    <n v="0"/>
    <n v="3140.1060000000002"/>
    <n v="4.53"/>
    <n v="1657043.9"/>
    <n v="1.895004718945588E-3"/>
  </r>
  <r>
    <s v="FOLHA-ARTUR"/>
    <x v="1"/>
    <x v="0"/>
    <n v="2025"/>
    <n v="210"/>
    <x v="64"/>
    <x v="7"/>
    <x v="3"/>
    <n v="2211"/>
    <n v="2197.77"/>
    <n v="599.99120000000005"/>
    <n v="175.82"/>
    <n v="308"/>
    <n v="0"/>
    <n v="0"/>
    <n v="306.8"/>
    <n v="3601.6111999999998"/>
    <n v="27.34"/>
    <n v="1657043.9"/>
    <n v="2.1735158676242676E-3"/>
  </r>
  <r>
    <s v="FOLHA-ARTUR"/>
    <x v="1"/>
    <x v="0"/>
    <n v="2025"/>
    <n v="167"/>
    <x v="65"/>
    <x v="1"/>
    <x v="9"/>
    <n v="2287.29"/>
    <n v="2118.37"/>
    <n v="578.31500000000005"/>
    <n v="169.46"/>
    <n v="322"/>
    <n v="80"/>
    <n v="0"/>
    <n v="0"/>
    <n v="3437.0650000000001"/>
    <n v="196.57"/>
    <n v="1657043.9"/>
    <n v="2.0742148171210193E-3"/>
  </r>
  <r>
    <s v="FOLHA-ARTUR"/>
    <x v="1"/>
    <x v="0"/>
    <n v="2025"/>
    <n v="224"/>
    <x v="66"/>
    <x v="2"/>
    <x v="2"/>
    <n v="2348.63"/>
    <n v="2348.63"/>
    <n v="641.17600000000004"/>
    <n v="187.89"/>
    <n v="308"/>
    <n v="80"/>
    <n v="0"/>
    <n v="0"/>
    <n v="3565.6959999999999"/>
    <n v="10.45"/>
    <n v="1657043.9"/>
    <n v="2.1518415957477049E-3"/>
  </r>
  <r>
    <s v="FOLHA-ARTUR"/>
    <x v="1"/>
    <x v="0"/>
    <n v="2025"/>
    <n v="236"/>
    <x v="67"/>
    <x v="4"/>
    <x v="7"/>
    <n v="2491.23"/>
    <n v="2316.6999999999998"/>
    <n v="632.45910000000003"/>
    <n v="185.33"/>
    <n v="614"/>
    <n v="0"/>
    <n v="0"/>
    <n v="0"/>
    <n v="3923.0191"/>
    <n v="26.75"/>
    <n v="1657043.9"/>
    <n v="2.367480487390829E-3"/>
  </r>
  <r>
    <s v="FOLHA-ARTUR"/>
    <x v="1"/>
    <x v="0"/>
    <n v="2025"/>
    <n v="250"/>
    <x v="68"/>
    <x v="3"/>
    <x v="6"/>
    <n v="607.86"/>
    <n v="607.86"/>
    <n v="165.94579999999999"/>
    <n v="48.62"/>
    <n v="0"/>
    <n v="0"/>
    <n v="0"/>
    <n v="0"/>
    <n v="822.42579999999998"/>
    <n v="15.36"/>
    <n v="1657043.9"/>
    <n v="4.9632105703415592E-4"/>
  </r>
  <r>
    <s v="FOLHA-ARTUR"/>
    <x v="1"/>
    <x v="0"/>
    <n v="2025"/>
    <n v="205"/>
    <x v="69"/>
    <x v="3"/>
    <x v="6"/>
    <n v="2187.75"/>
    <n v="2122.84"/>
    <n v="579.53530000000001"/>
    <n v="169.82"/>
    <n v="294"/>
    <n v="0"/>
    <n v="0"/>
    <n v="0"/>
    <n v="3231.1053000000002"/>
    <n v="20.94"/>
    <n v="1657043.9"/>
    <n v="1.9499213750462496E-3"/>
  </r>
  <r>
    <s v="FOLHA-ARTUR"/>
    <x v="1"/>
    <x v="0"/>
    <n v="2025"/>
    <n v="245"/>
    <x v="70"/>
    <x v="2"/>
    <x v="2"/>
    <n v="0"/>
    <n v="0"/>
    <n v="0"/>
    <n v="0"/>
    <n v="322"/>
    <n v="0"/>
    <n v="0"/>
    <n v="306.8"/>
    <n v="628.79999999999995"/>
    <n v="0"/>
    <n v="1657043.9"/>
    <n v="3.7947093616530014E-4"/>
  </r>
  <r>
    <s v="FOLHA-ARTUR"/>
    <x v="1"/>
    <x v="0"/>
    <n v="2025"/>
    <n v="215"/>
    <x v="71"/>
    <x v="2"/>
    <x v="2"/>
    <n v="3544.24"/>
    <n v="115.55"/>
    <n v="31.545200000000001"/>
    <n v="9.24"/>
    <n v="0"/>
    <n v="0"/>
    <n v="0"/>
    <n v="0"/>
    <n v="3585.0250999999998"/>
    <n v="0"/>
    <n v="1657043.9"/>
    <n v="2.1635064405958102E-3"/>
  </r>
  <r>
    <s v="FOLHA-ARTUR"/>
    <x v="1"/>
    <x v="0"/>
    <n v="2025"/>
    <n v="240"/>
    <x v="72"/>
    <x v="2"/>
    <x v="2"/>
    <n v="2242.9899999999998"/>
    <n v="2242.9899999999998"/>
    <n v="612.33630000000005"/>
    <n v="179.43"/>
    <n v="322"/>
    <n v="0"/>
    <n v="0"/>
    <n v="0"/>
    <n v="3356.7563"/>
    <n v="21.99"/>
    <n v="1657043.9"/>
    <n v="2.0257497523149507E-3"/>
  </r>
  <r>
    <s v="FOLHA-ARTUR"/>
    <x v="1"/>
    <x v="0"/>
    <n v="2025"/>
    <n v="123"/>
    <x v="73"/>
    <x v="2"/>
    <x v="14"/>
    <n v="2970.84"/>
    <n v="2961.66"/>
    <n v="808.53319999999997"/>
    <n v="236.93"/>
    <n v="400"/>
    <n v="80"/>
    <n v="0"/>
    <n v="0"/>
    <n v="4496.3032000000003"/>
    <n v="373.92"/>
    <n v="1657043.9"/>
    <n v="2.7134484367010436E-3"/>
  </r>
  <r>
    <s v="FOLHA-ARTUR"/>
    <x v="1"/>
    <x v="0"/>
    <n v="2025"/>
    <n v="152"/>
    <x v="74"/>
    <x v="2"/>
    <x v="2"/>
    <n v="2345.2199999999998"/>
    <n v="2298.1799999999998"/>
    <n v="627.40309999999999"/>
    <n v="183.85"/>
    <n v="308"/>
    <n v="0"/>
    <n v="0"/>
    <n v="0"/>
    <n v="3464.4731000000002"/>
    <n v="0"/>
    <n v="1657043.9"/>
    <n v="2.0907551936312613E-3"/>
  </r>
  <r>
    <s v="FOLHA-ARTUR"/>
    <x v="1"/>
    <x v="0"/>
    <n v="2025"/>
    <n v="247"/>
    <x v="75"/>
    <x v="2"/>
    <x v="2"/>
    <n v="1908.78"/>
    <n v="1908.78"/>
    <n v="521.09690000000001"/>
    <n v="152.69999999999999"/>
    <n v="280"/>
    <n v="0"/>
    <n v="0"/>
    <n v="306.8"/>
    <n v="3169.3769000000002"/>
    <n v="57.95"/>
    <n v="1657043.9"/>
    <n v="1.912669266034533E-3"/>
  </r>
  <r>
    <s v="FOLHA-ARTUR"/>
    <x v="1"/>
    <x v="0"/>
    <n v="2025"/>
    <n v="249"/>
    <x v="76"/>
    <x v="4"/>
    <x v="8"/>
    <n v="2212.2800000000002"/>
    <n v="2170.38"/>
    <n v="592.51369999999997"/>
    <n v="173.63"/>
    <n v="460"/>
    <n v="0"/>
    <n v="0"/>
    <n v="0"/>
    <n v="3438.4236999999998"/>
    <n v="191.03"/>
    <n v="1657043.9"/>
    <n v="2.0750347893619477E-3"/>
  </r>
  <r>
    <s v="FOLHA-ARTUR"/>
    <x v="1"/>
    <x v="0"/>
    <n v="2025"/>
    <n v="248"/>
    <x v="77"/>
    <x v="3"/>
    <x v="6"/>
    <n v="1716.83"/>
    <n v="1716.83"/>
    <n v="468.69459999999998"/>
    <n v="137.34"/>
    <n v="280"/>
    <n v="0"/>
    <n v="0"/>
    <n v="306.8"/>
    <n v="2909.6646000000001"/>
    <n v="71"/>
    <n v="1657043.9"/>
    <n v="1.7559369368548414E-3"/>
  </r>
  <r>
    <s v="FOLHA-ARTUR"/>
    <x v="1"/>
    <x v="0"/>
    <n v="2025"/>
    <n v="2005"/>
    <x v="78"/>
    <x v="3"/>
    <x v="10"/>
    <n v="820"/>
    <n v="0"/>
    <n v="0"/>
    <n v="0"/>
    <n v="0"/>
    <n v="80"/>
    <n v="0"/>
    <n v="306.8"/>
    <n v="1206.8"/>
    <n v="67.8"/>
    <n v="1657043.9"/>
    <n v="7.2828486921800925E-4"/>
  </r>
  <r>
    <s v="FOLHA-ARTUR"/>
    <x v="1"/>
    <x v="0"/>
    <n v="2025"/>
    <n v="2006"/>
    <x v="79"/>
    <x v="3"/>
    <x v="10"/>
    <n v="820"/>
    <n v="0"/>
    <n v="0"/>
    <n v="0"/>
    <n v="0"/>
    <n v="80"/>
    <n v="0"/>
    <n v="306.8"/>
    <n v="1206.8"/>
    <n v="172.55"/>
    <n v="1657043.9"/>
    <n v="7.2828486921800925E-4"/>
  </r>
  <r>
    <s v="FOLHA-ARTUR"/>
    <x v="1"/>
    <x v="1"/>
    <n v="2025"/>
    <n v="151"/>
    <x v="40"/>
    <x v="3"/>
    <x v="6"/>
    <n v="2108.3000000000002"/>
    <n v="2076.65"/>
    <n v="566.92550000000006"/>
    <n v="166.13"/>
    <n v="322"/>
    <n v="0"/>
    <n v="0"/>
    <n v="306.8"/>
    <n v="3470.1554999999998"/>
    <n v="30.09"/>
    <n v="1849662.93"/>
    <n v="1.8761015284011777E-3"/>
  </r>
  <r>
    <s v="FOLHA-ARTUR"/>
    <x v="1"/>
    <x v="1"/>
    <n v="2025"/>
    <n v="170"/>
    <x v="41"/>
    <x v="4"/>
    <x v="9"/>
    <n v="2003.26"/>
    <n v="1994.91"/>
    <n v="544.61040000000003"/>
    <n v="159.59"/>
    <n v="350"/>
    <n v="80"/>
    <n v="0"/>
    <n v="0"/>
    <n v="3137.4603999999999"/>
    <n v="28.26"/>
    <n v="1849662.93"/>
    <n v="1.6962336105205936E-3"/>
  </r>
  <r>
    <s v="FOLHA-ARTUR"/>
    <x v="1"/>
    <x v="1"/>
    <n v="2025"/>
    <n v="47"/>
    <x v="42"/>
    <x v="6"/>
    <x v="11"/>
    <n v="8157.41"/>
    <n v="8157.41"/>
    <n v="1631.482"/>
    <n v="0"/>
    <n v="0"/>
    <n v="0"/>
    <n v="0"/>
    <n v="0"/>
    <n v="9788.8919999999998"/>
    <n v="0"/>
    <n v="1849662.93"/>
    <n v="5.2922572222388652E-3"/>
  </r>
  <r>
    <s v="FOLHA-ARTUR"/>
    <x v="1"/>
    <x v="1"/>
    <n v="2025"/>
    <n v="251"/>
    <x v="80"/>
    <x v="2"/>
    <x v="2"/>
    <n v="1644.84"/>
    <n v="1644.84"/>
    <n v="449.04129999999998"/>
    <n v="131.58000000000001"/>
    <n v="238"/>
    <n v="0"/>
    <n v="0"/>
    <n v="0"/>
    <n v="2463.4612999999999"/>
    <n v="16.11"/>
    <n v="1849662.93"/>
    <n v="1.3318433753765071E-3"/>
  </r>
  <r>
    <s v="FOLHA-ARTUR"/>
    <x v="1"/>
    <x v="1"/>
    <n v="2025"/>
    <n v="229"/>
    <x v="43"/>
    <x v="3"/>
    <x v="6"/>
    <n v="2089.84"/>
    <n v="1954.77"/>
    <n v="533.65219999999999"/>
    <n v="156.38"/>
    <n v="322"/>
    <n v="0"/>
    <n v="0"/>
    <n v="0"/>
    <n v="3101.8721999999998"/>
    <n v="18.84"/>
    <n v="1849662.93"/>
    <n v="1.6769932292474503E-3"/>
  </r>
  <r>
    <s v="FOLHA-ARTUR"/>
    <x v="1"/>
    <x v="1"/>
    <n v="2025"/>
    <n v="253"/>
    <x v="81"/>
    <x v="1"/>
    <x v="9"/>
    <n v="1478.77"/>
    <n v="1477.15"/>
    <n v="403.262"/>
    <n v="118.17"/>
    <n v="238"/>
    <n v="0"/>
    <n v="0"/>
    <n v="0"/>
    <n v="2238.2020000000002"/>
    <n v="30.44"/>
    <n v="1849662.93"/>
    <n v="1.2100593647081418E-3"/>
  </r>
  <r>
    <s v="FOLHA-ARTUR"/>
    <x v="1"/>
    <x v="1"/>
    <n v="2025"/>
    <n v="231"/>
    <x v="44"/>
    <x v="1"/>
    <x v="9"/>
    <n v="2022.95"/>
    <n v="2020.71"/>
    <n v="551.65380000000005"/>
    <n v="161.65"/>
    <n v="308"/>
    <n v="0"/>
    <n v="0"/>
    <n v="0"/>
    <n v="3044.2538"/>
    <n v="47.95"/>
    <n v="1849662.93"/>
    <n v="1.6458424833112699E-3"/>
  </r>
  <r>
    <s v="FOLHA-ARTUR"/>
    <x v="1"/>
    <x v="1"/>
    <n v="2025"/>
    <n v="244"/>
    <x v="45"/>
    <x v="2"/>
    <x v="2"/>
    <n v="829"/>
    <n v="417.89"/>
    <n v="114.084"/>
    <n v="33.42"/>
    <n v="98"/>
    <n v="0"/>
    <n v="0"/>
    <n v="0"/>
    <n v="1074.5039999999999"/>
    <n v="0"/>
    <n v="1849662.93"/>
    <n v="5.8091880016214632E-4"/>
  </r>
  <r>
    <s v="FOLHA-ARTUR"/>
    <x v="1"/>
    <x v="1"/>
    <n v="2025"/>
    <n v="12"/>
    <x v="46"/>
    <x v="1"/>
    <x v="4"/>
    <n v="2819.89"/>
    <n v="2819.89"/>
    <n v="769.83"/>
    <n v="225.59"/>
    <n v="364"/>
    <n v="80"/>
    <n v="122.84"/>
    <n v="306.8"/>
    <n v="4688.95"/>
    <n v="498.59"/>
    <n v="1849662.93"/>
    <n v="2.5350294337141738E-3"/>
  </r>
  <r>
    <s v="FOLHA-ARTUR"/>
    <x v="1"/>
    <x v="1"/>
    <n v="2025"/>
    <n v="13"/>
    <x v="47"/>
    <x v="5"/>
    <x v="5"/>
    <n v="2538.92"/>
    <n v="2538.92"/>
    <n v="693.12519999999995"/>
    <n v="203.11"/>
    <n v="350"/>
    <n v="80"/>
    <n v="122.84"/>
    <n v="0"/>
    <n v="3987.9951999999998"/>
    <n v="17.489999999999998"/>
    <n v="1849662.93"/>
    <n v="2.156065894665468E-3"/>
  </r>
  <r>
    <s v="FOLHA-ARTUR"/>
    <x v="1"/>
    <x v="1"/>
    <n v="2025"/>
    <n v="238"/>
    <x v="48"/>
    <x v="2"/>
    <x v="2"/>
    <n v="2389.9699999999998"/>
    <n v="2389.9699999999998"/>
    <n v="652.46180000000004"/>
    <n v="191.19"/>
    <n v="600"/>
    <n v="80"/>
    <n v="0"/>
    <n v="0"/>
    <n v="3913.6217999999999"/>
    <n v="168.97"/>
    <n v="1849662.93"/>
    <n v="2.1158567577499107E-3"/>
  </r>
  <r>
    <s v="FOLHA-ARTUR"/>
    <x v="1"/>
    <x v="1"/>
    <n v="2025"/>
    <n v="223"/>
    <x v="49"/>
    <x v="5"/>
    <x v="12"/>
    <n v="2119.38"/>
    <n v="2089.75"/>
    <n v="570.5018"/>
    <n v="167.18"/>
    <n v="350"/>
    <n v="80"/>
    <n v="122.84"/>
    <n v="0"/>
    <n v="3409.9018000000001"/>
    <n v="144.38"/>
    <n v="1849662.93"/>
    <n v="1.8435260255769952E-3"/>
  </r>
  <r>
    <s v="FOLHA-ARTUR"/>
    <x v="1"/>
    <x v="1"/>
    <n v="2025"/>
    <n v="179"/>
    <x v="51"/>
    <x v="1"/>
    <x v="9"/>
    <n v="2453.15"/>
    <n v="2453.15"/>
    <n v="669.71"/>
    <n v="196.25"/>
    <n v="350"/>
    <n v="80"/>
    <n v="0"/>
    <n v="0"/>
    <n v="3749.11"/>
    <n v="478.15"/>
    <n v="1849662.93"/>
    <n v="2.0269152228725262E-3"/>
  </r>
  <r>
    <s v="FOLHA-ARTUR"/>
    <x v="1"/>
    <x v="1"/>
    <n v="2025"/>
    <n v="204"/>
    <x v="52"/>
    <x v="2"/>
    <x v="2"/>
    <n v="2310.0100000000002"/>
    <n v="2310.0100000000002"/>
    <n v="630.6327"/>
    <n v="184.8"/>
    <n v="322"/>
    <n v="0"/>
    <n v="0"/>
    <n v="0"/>
    <n v="3447.4427000000001"/>
    <n v="89.01"/>
    <n v="1849662.93"/>
    <n v="1.8638221451516041E-3"/>
  </r>
  <r>
    <s v="FOLHA-ARTUR"/>
    <x v="1"/>
    <x v="1"/>
    <n v="2025"/>
    <n v="222"/>
    <x v="53"/>
    <x v="7"/>
    <x v="6"/>
    <n v="2002.91"/>
    <n v="1810.38"/>
    <n v="494.2337"/>
    <n v="144.83000000000001"/>
    <n v="336"/>
    <n v="80"/>
    <n v="0"/>
    <n v="286.8"/>
    <n v="3344.7737000000002"/>
    <n v="27.91"/>
    <n v="1849662.93"/>
    <n v="1.8083152804495037E-3"/>
  </r>
  <r>
    <s v="FOLHA-ARTUR"/>
    <x v="1"/>
    <x v="1"/>
    <n v="2025"/>
    <n v="252"/>
    <x v="82"/>
    <x v="4"/>
    <x v="8"/>
    <n v="1825.06"/>
    <n v="1822.85"/>
    <n v="497.63810000000001"/>
    <n v="145.82"/>
    <n v="412"/>
    <n v="0"/>
    <n v="0"/>
    <n v="0"/>
    <n v="2880.518"/>
    <n v="46.36"/>
    <n v="1849662.93"/>
    <n v="1.5573205275839091E-3"/>
  </r>
  <r>
    <s v="FOLHA-ARTUR"/>
    <x v="1"/>
    <x v="1"/>
    <n v="2025"/>
    <n v="254"/>
    <x v="83"/>
    <x v="7"/>
    <x v="6"/>
    <n v="1322.25"/>
    <n v="1269.0999999999999"/>
    <n v="346.46429999999998"/>
    <n v="101.52"/>
    <n v="224"/>
    <n v="0"/>
    <n v="0"/>
    <n v="106.4"/>
    <n v="2100.6343000000002"/>
    <n v="5.58"/>
    <n v="1849662.93"/>
    <n v="1.1356849217927505E-3"/>
  </r>
  <r>
    <s v="FOLHA-ARTUR"/>
    <x v="1"/>
    <x v="1"/>
    <n v="2025"/>
    <n v="216"/>
    <x v="54"/>
    <x v="4"/>
    <x v="8"/>
    <n v="2425.5"/>
    <n v="2396.06"/>
    <n v="654.12440000000004"/>
    <n v="191.68"/>
    <n v="350"/>
    <n v="0"/>
    <n v="0"/>
    <n v="0"/>
    <n v="3621.3044"/>
    <n v="0"/>
    <n v="1849662.93"/>
    <n v="1.9578185415653005E-3"/>
  </r>
  <r>
    <s v="FOLHA-ARTUR"/>
    <x v="1"/>
    <x v="1"/>
    <n v="2025"/>
    <n v="221"/>
    <x v="55"/>
    <x v="2"/>
    <x v="2"/>
    <n v="2256.38"/>
    <n v="2256.38"/>
    <n v="615.99170000000004"/>
    <n v="180.51"/>
    <n v="350"/>
    <n v="80"/>
    <n v="0"/>
    <n v="0"/>
    <n v="3482.8816999999999"/>
    <n v="35.380000000000003"/>
    <n v="1849662.93"/>
    <n v="1.8829818576728463E-3"/>
  </r>
  <r>
    <s v="FOLHA-ARTUR"/>
    <x v="1"/>
    <x v="1"/>
    <n v="2025"/>
    <n v="132"/>
    <x v="57"/>
    <x v="3"/>
    <x v="13"/>
    <n v="2392.77"/>
    <n v="2359.5"/>
    <n v="644.14350000000002"/>
    <n v="188.76"/>
    <n v="210"/>
    <n v="0"/>
    <n v="0"/>
    <n v="0"/>
    <n v="3435.6734999999999"/>
    <n v="0"/>
    <n v="1849662.93"/>
    <n v="1.8574592398843176E-3"/>
  </r>
  <r>
    <s v="FOLHA-ARTUR"/>
    <x v="1"/>
    <x v="1"/>
    <n v="2025"/>
    <n v="194"/>
    <x v="58"/>
    <x v="2"/>
    <x v="2"/>
    <n v="2277.21"/>
    <n v="2277.21"/>
    <n v="621.67830000000004"/>
    <n v="182.17"/>
    <n v="450"/>
    <n v="80"/>
    <n v="0"/>
    <n v="306.8"/>
    <n v="3917.8582999999999"/>
    <n v="56.21"/>
    <n v="1849662.93"/>
    <n v="2.1181471858767262E-3"/>
  </r>
  <r>
    <s v="FOLHA-ARTUR"/>
    <x v="1"/>
    <x v="1"/>
    <n v="2025"/>
    <n v="228"/>
    <x v="60"/>
    <x v="3"/>
    <x v="10"/>
    <n v="831.7"/>
    <n v="0"/>
    <n v="0"/>
    <n v="0"/>
    <n v="0"/>
    <n v="80"/>
    <n v="0"/>
    <n v="306.8"/>
    <n v="1218.5"/>
    <n v="0"/>
    <n v="1849662.93"/>
    <n v="6.5876867630147078E-4"/>
  </r>
  <r>
    <s v="FOLHA-ARTUR"/>
    <x v="1"/>
    <x v="1"/>
    <n v="2025"/>
    <n v="246"/>
    <x v="61"/>
    <x v="2"/>
    <x v="2"/>
    <n v="2230.59"/>
    <n v="2230.59"/>
    <n v="608.9511"/>
    <n v="178.44"/>
    <n v="450"/>
    <n v="80"/>
    <n v="0"/>
    <n v="0"/>
    <n v="3547.9811"/>
    <n v="9.59"/>
    <n v="1849662.93"/>
    <n v="1.9181770972725289E-3"/>
  </r>
  <r>
    <s v="FOLHA-ARTUR"/>
    <x v="1"/>
    <x v="1"/>
    <n v="2025"/>
    <n v="165"/>
    <x v="63"/>
    <x v="1"/>
    <x v="9"/>
    <n v="3298.16"/>
    <n v="2843.65"/>
    <n v="776.31650000000002"/>
    <n v="227.49"/>
    <n v="266"/>
    <n v="0"/>
    <n v="0"/>
    <n v="0"/>
    <n v="4567.9664000000002"/>
    <n v="7.18"/>
    <n v="1849662.93"/>
    <n v="2.4696210190037165E-3"/>
  </r>
  <r>
    <s v="FOLHA-ARTUR"/>
    <x v="1"/>
    <x v="1"/>
    <n v="2025"/>
    <n v="210"/>
    <x v="64"/>
    <x v="7"/>
    <x v="3"/>
    <n v="2132.64"/>
    <n v="2121.9699999999998"/>
    <n v="579.29780000000005"/>
    <n v="169.75"/>
    <n v="350"/>
    <n v="80"/>
    <n v="0"/>
    <n v="306.8"/>
    <n v="3618.4877999999999"/>
    <n v="54.43"/>
    <n v="1849662.93"/>
    <n v="1.9562957938503963E-3"/>
  </r>
  <r>
    <s v="FOLHA-ARTUR"/>
    <x v="1"/>
    <x v="1"/>
    <n v="2025"/>
    <n v="167"/>
    <x v="65"/>
    <x v="1"/>
    <x v="9"/>
    <n v="2354.86"/>
    <n v="2354.86"/>
    <n v="642.8768"/>
    <n v="188.38"/>
    <n v="336"/>
    <n v="0"/>
    <n v="0"/>
    <n v="0"/>
    <n v="3522.1167999999998"/>
    <n v="379.86"/>
    <n v="1849662.93"/>
    <n v="1.9041938522279844E-3"/>
  </r>
  <r>
    <s v="FOLHA-ARTUR"/>
    <x v="1"/>
    <x v="1"/>
    <n v="2025"/>
    <n v="224"/>
    <x v="66"/>
    <x v="2"/>
    <x v="2"/>
    <n v="2245.87"/>
    <n v="2245.87"/>
    <n v="613.12249999999995"/>
    <n v="179.66"/>
    <n v="322"/>
    <n v="0"/>
    <n v="0"/>
    <n v="0"/>
    <n v="3360.6525000000001"/>
    <n v="24.87"/>
    <n v="1849662.93"/>
    <n v="1.8168999634976736E-3"/>
  </r>
  <r>
    <s v="FOLHA-ARTUR"/>
    <x v="1"/>
    <x v="1"/>
    <n v="2025"/>
    <n v="236"/>
    <x v="67"/>
    <x v="4"/>
    <x v="7"/>
    <n v="2520.15"/>
    <n v="2341.14"/>
    <n v="639.13120000000004"/>
    <n v="187.29"/>
    <n v="572"/>
    <n v="0"/>
    <n v="0"/>
    <n v="0"/>
    <n v="3918.5711999999999"/>
    <n v="94.65"/>
    <n v="1849662.93"/>
    <n v="2.1185326020454979E-3"/>
  </r>
  <r>
    <s v="FOLHA-ARTUR"/>
    <x v="1"/>
    <x v="1"/>
    <n v="2025"/>
    <n v="250"/>
    <x v="68"/>
    <x v="3"/>
    <x v="6"/>
    <n v="1980.65"/>
    <n v="1698.91"/>
    <n v="463.80239999999998"/>
    <n v="135.91"/>
    <n v="476"/>
    <n v="80"/>
    <n v="0"/>
    <n v="274.39999999999998"/>
    <n v="3410.7624000000001"/>
    <n v="5.65"/>
    <n v="1849662.93"/>
    <n v="1.8439913427902241E-3"/>
  </r>
  <r>
    <s v="FOLHA-ARTUR"/>
    <x v="1"/>
    <x v="1"/>
    <n v="2025"/>
    <n v="205"/>
    <x v="69"/>
    <x v="3"/>
    <x v="6"/>
    <n v="2071"/>
    <n v="1944.42"/>
    <n v="530.82669999999996"/>
    <n v="155.55000000000001"/>
    <n v="350"/>
    <n v="0"/>
    <n v="0"/>
    <n v="0"/>
    <n v="3107.3766999999998"/>
    <n v="0"/>
    <n v="1849662.93"/>
    <n v="1.6799691498385601E-3"/>
  </r>
  <r>
    <s v="FOLHA-ARTUR"/>
    <x v="1"/>
    <x v="1"/>
    <n v="2025"/>
    <n v="255"/>
    <x v="84"/>
    <x v="2"/>
    <x v="2"/>
    <n v="1336.31"/>
    <n v="1336.31"/>
    <n v="364.81259999999997"/>
    <n v="106.9"/>
    <n v="210"/>
    <n v="0"/>
    <n v="0"/>
    <n v="0"/>
    <n v="2018.0226"/>
    <n v="3.71"/>
    <n v="1849662.93"/>
    <n v="1.0910218274201992E-3"/>
  </r>
  <r>
    <s v="FOLHA-ARTUR"/>
    <x v="1"/>
    <x v="1"/>
    <n v="2025"/>
    <n v="215"/>
    <x v="71"/>
    <x v="2"/>
    <x v="2"/>
    <n v="3449.94"/>
    <n v="0"/>
    <n v="0"/>
    <n v="0"/>
    <n v="0"/>
    <n v="0"/>
    <n v="0"/>
    <n v="0"/>
    <n v="3449.94"/>
    <n v="0"/>
    <n v="1849662.93"/>
    <n v="1.865172266819447E-3"/>
  </r>
  <r>
    <s v="FOLHA-ARTUR"/>
    <x v="1"/>
    <x v="1"/>
    <n v="2025"/>
    <n v="240"/>
    <x v="72"/>
    <x v="2"/>
    <x v="2"/>
    <n v="2225.0500000000002"/>
    <n v="2225.0500000000002"/>
    <n v="607.43870000000004"/>
    <n v="178"/>
    <n v="350"/>
    <n v="80"/>
    <n v="0"/>
    <n v="0"/>
    <n v="3440.4886999999999"/>
    <n v="4.05"/>
    <n v="1849662.93"/>
    <n v="1.860062497981727E-3"/>
  </r>
  <r>
    <s v="FOLHA-ARTUR"/>
    <x v="1"/>
    <x v="1"/>
    <n v="2025"/>
    <n v="123"/>
    <x v="73"/>
    <x v="2"/>
    <x v="14"/>
    <n v="2486.7600000000002"/>
    <n v="2477.79"/>
    <n v="676.43669999999997"/>
    <n v="198.22"/>
    <n v="400"/>
    <n v="0"/>
    <n v="0"/>
    <n v="0"/>
    <n v="3761.4167000000002"/>
    <n v="165.46"/>
    <n v="1849662.93"/>
    <n v="2.0335687162200957E-3"/>
  </r>
  <r>
    <s v="FOLHA-ARTUR"/>
    <x v="1"/>
    <x v="1"/>
    <n v="2025"/>
    <n v="152"/>
    <x v="74"/>
    <x v="2"/>
    <x v="2"/>
    <n v="2221"/>
    <n v="2157.25"/>
    <n v="588.92930000000001"/>
    <n v="172.58"/>
    <n v="238"/>
    <n v="0"/>
    <n v="0"/>
    <n v="136.80000000000001"/>
    <n v="3357.3092999999999"/>
    <n v="0"/>
    <n v="1849662.93"/>
    <n v="1.8150924666041723E-3"/>
  </r>
  <r>
    <s v="FOLHA-ARTUR"/>
    <x v="1"/>
    <x v="1"/>
    <n v="2025"/>
    <n v="247"/>
    <x v="75"/>
    <x v="2"/>
    <x v="2"/>
    <n v="2250.4899999999998"/>
    <n v="2248.27"/>
    <n v="613.77769999999998"/>
    <n v="179.86"/>
    <n v="450"/>
    <n v="80"/>
    <n v="0"/>
    <n v="0"/>
    <n v="3574.1277"/>
    <n v="29.49"/>
    <n v="1849662.93"/>
    <n v="1.9323129917514213E-3"/>
  </r>
  <r>
    <s v="FOLHA-ARTUR"/>
    <x v="1"/>
    <x v="1"/>
    <n v="2025"/>
    <n v="249"/>
    <x v="76"/>
    <x v="4"/>
    <x v="8"/>
    <n v="2543.91"/>
    <n v="2271.41"/>
    <n v="620.09490000000005"/>
    <n v="181.71"/>
    <n v="642"/>
    <n v="0"/>
    <n v="0"/>
    <n v="0"/>
    <n v="3987.7148999999999"/>
    <n v="118.41"/>
    <n v="1849662.93"/>
    <n v="2.1559143913858943E-3"/>
  </r>
  <r>
    <s v="FOLHA-ARTUR"/>
    <x v="1"/>
    <x v="1"/>
    <n v="2025"/>
    <n v="248"/>
    <x v="77"/>
    <x v="3"/>
    <x v="6"/>
    <n v="1987.33"/>
    <n v="1972.79"/>
    <n v="538.57169999999996"/>
    <n v="157.82"/>
    <n v="518"/>
    <n v="80"/>
    <n v="0"/>
    <n v="206.8"/>
    <n v="3488.5216999999998"/>
    <n v="12.33"/>
    <n v="1849662.93"/>
    <n v="1.8860310240417697E-3"/>
  </r>
  <r>
    <s v="FOLHA-ARTUR"/>
    <x v="1"/>
    <x v="1"/>
    <n v="2025"/>
    <n v="2005"/>
    <x v="78"/>
    <x v="3"/>
    <x v="10"/>
    <n v="926.05"/>
    <n v="0"/>
    <n v="0"/>
    <n v="0"/>
    <n v="0"/>
    <n v="80"/>
    <n v="0"/>
    <n v="296.39999999999998"/>
    <n v="1302.45"/>
    <n v="0"/>
    <n v="1849662.93"/>
    <n v="7.0415532412708296E-4"/>
  </r>
  <r>
    <s v="FOLHA-ARTUR"/>
    <x v="1"/>
    <x v="1"/>
    <n v="2025"/>
    <n v="2006"/>
    <x v="79"/>
    <x v="3"/>
    <x v="10"/>
    <n v="843.42"/>
    <n v="0"/>
    <n v="0"/>
    <n v="0"/>
    <n v="0"/>
    <n v="80"/>
    <n v="0"/>
    <n v="306.8"/>
    <n v="1230.22"/>
    <n v="0"/>
    <n v="1849662.93"/>
    <n v="6.6510496590857233E-4"/>
  </r>
  <r>
    <s v="FOLHA-ARTUR"/>
    <x v="1"/>
    <x v="2"/>
    <n v="2025"/>
    <n v="259"/>
    <x v="85"/>
    <x v="2"/>
    <x v="2"/>
    <n v="161.66999999999999"/>
    <n v="161.66999999999999"/>
    <n v="44.135899999999999"/>
    <n v="12.93"/>
    <m/>
    <m/>
    <m/>
    <m/>
    <n v="218.73589999999999"/>
    <n v="13.6"/>
    <n v="1812293.64"/>
    <n v="1.2069562303380372E-4"/>
  </r>
  <r>
    <s v="FOLHA-ARTUR"/>
    <x v="1"/>
    <x v="2"/>
    <n v="2025"/>
    <n v="151"/>
    <x v="40"/>
    <x v="3"/>
    <x v="6"/>
    <n v="2469.1999999999998"/>
    <n v="2440.11"/>
    <n v="666.15"/>
    <n v="195.2"/>
    <n v="336"/>
    <m/>
    <m/>
    <n v="284.60000000000002"/>
    <n v="3951.15"/>
    <n v="390.99"/>
    <n v="1812293.64"/>
    <n v="2.180193067388351E-3"/>
  </r>
  <r>
    <s v="FOLHA-ARTUR"/>
    <x v="1"/>
    <x v="2"/>
    <n v="2025"/>
    <n v="170"/>
    <x v="41"/>
    <x v="4"/>
    <x v="9"/>
    <n v="2304.38"/>
    <n v="2302.7600000000002"/>
    <n v="628.65350000000001"/>
    <n v="184.22"/>
    <n v="336"/>
    <n v="80"/>
    <m/>
    <m/>
    <n v="3533.2534999999998"/>
    <n v="329.38"/>
    <n v="1812293.64"/>
    <n v="1.9496032000642016E-3"/>
  </r>
  <r>
    <s v="FOLHA-ARTUR"/>
    <x v="1"/>
    <x v="2"/>
    <n v="2025"/>
    <n v="47"/>
    <x v="42"/>
    <x v="6"/>
    <x v="11"/>
    <n v="8157.41"/>
    <n v="8157.41"/>
    <n v="1631.482"/>
    <n v="0"/>
    <m/>
    <m/>
    <m/>
    <m/>
    <n v="9788.8919999999998"/>
    <n v="0"/>
    <n v="1812293.64"/>
    <n v="5.4013829679389041E-3"/>
  </r>
  <r>
    <s v="FOLHA-ARTUR"/>
    <x v="1"/>
    <x v="2"/>
    <n v="2025"/>
    <n v="251"/>
    <x v="80"/>
    <x v="2"/>
    <x v="2"/>
    <n v="3195.88"/>
    <n v="2093.62"/>
    <n v="571.55830000000003"/>
    <n v="167.48"/>
    <n v="541"/>
    <m/>
    <m/>
    <m/>
    <n v="4475.9183000000003"/>
    <n v="11.59"/>
    <n v="1812293.64"/>
    <n v="2.4697533342334086E-3"/>
  </r>
  <r>
    <s v="FOLHA-ARTUR"/>
    <x v="1"/>
    <x v="2"/>
    <n v="2025"/>
    <n v="229"/>
    <x v="43"/>
    <x v="3"/>
    <x v="6"/>
    <n v="2261.64"/>
    <n v="2261.64"/>
    <n v="617.42769999999996"/>
    <n v="180.93"/>
    <n v="308"/>
    <m/>
    <m/>
    <m/>
    <n v="3367.9976999999999"/>
    <n v="190.64"/>
    <n v="1812293.64"/>
    <n v="1.8584172264710921E-3"/>
  </r>
  <r>
    <s v="FOLHA-ARTUR"/>
    <x v="1"/>
    <x v="2"/>
    <n v="2025"/>
    <n v="253"/>
    <x v="81"/>
    <x v="1"/>
    <x v="9"/>
    <n v="2034.25"/>
    <n v="2032.45"/>
    <n v="554.85889999999995"/>
    <n v="162.59"/>
    <n v="336"/>
    <n v="80"/>
    <m/>
    <m/>
    <n v="3167.6988999999999"/>
    <n v="59.25"/>
    <n v="1812293.64"/>
    <n v="1.7478949217081623E-3"/>
  </r>
  <r>
    <s v="FOLHA-ARTUR"/>
    <x v="1"/>
    <x v="2"/>
    <n v="2025"/>
    <n v="231"/>
    <x v="44"/>
    <x v="1"/>
    <x v="9"/>
    <n v="2190.15"/>
    <n v="2190.15"/>
    <n v="597.91099999999994"/>
    <n v="175.21"/>
    <n v="238"/>
    <m/>
    <m/>
    <n v="254.8"/>
    <n v="3456.0709999999999"/>
    <n v="215.15"/>
    <n v="1812293.64"/>
    <n v="1.9070148863955625E-3"/>
  </r>
  <r>
    <s v="FOLHA-ARTUR"/>
    <x v="1"/>
    <x v="2"/>
    <n v="2025"/>
    <n v="12"/>
    <x v="46"/>
    <x v="1"/>
    <x v="4"/>
    <n v="3102.1"/>
    <n v="3102.1"/>
    <n v="846.87329999999997"/>
    <n v="248.16"/>
    <n v="336"/>
    <n v="80"/>
    <n v="122.84"/>
    <n v="306.8"/>
    <n v="5042.7732999999998"/>
    <n v="780.8"/>
    <n v="1812293.64"/>
    <n v="2.7825365540652671E-3"/>
  </r>
  <r>
    <s v="FOLHA-ARTUR"/>
    <x v="1"/>
    <x v="2"/>
    <n v="2025"/>
    <n v="13"/>
    <x v="47"/>
    <x v="5"/>
    <x v="5"/>
    <n v="2533.58"/>
    <n v="2533.58"/>
    <n v="691.66729999999995"/>
    <n v="202.68"/>
    <n v="336"/>
    <m/>
    <n v="122.84"/>
    <m/>
    <n v="3886.7673"/>
    <n v="12.15"/>
    <n v="1812293.64"/>
    <n v="2.144667538534208E-3"/>
  </r>
  <r>
    <s v="FOLHA-ARTUR"/>
    <x v="1"/>
    <x v="2"/>
    <n v="2025"/>
    <n v="238"/>
    <x v="48"/>
    <x v="2"/>
    <x v="2"/>
    <n v="2448.33"/>
    <n v="2448.33"/>
    <n v="668.39409999999998"/>
    <n v="195.86"/>
    <n v="752"/>
    <m/>
    <m/>
    <n v="306.8"/>
    <n v="4371.3841000000002"/>
    <n v="227.33"/>
    <n v="1812293.64"/>
    <n v="2.4120727422516364E-3"/>
  </r>
  <r>
    <s v="FOLHA-ARTUR"/>
    <x v="1"/>
    <x v="2"/>
    <n v="2025"/>
    <n v="223"/>
    <x v="49"/>
    <x v="5"/>
    <x v="12"/>
    <n v="2509.5100000000002"/>
    <n v="2509.5100000000002"/>
    <n v="685.09619999999995"/>
    <n v="200.76"/>
    <n v="308"/>
    <m/>
    <n v="122.84"/>
    <m/>
    <n v="3826.2062000000001"/>
    <n v="534.51"/>
    <n v="1812293.64"/>
    <n v="2.1112507076943669E-3"/>
  </r>
  <r>
    <s v="FOLHA-ARTUR"/>
    <x v="1"/>
    <x v="2"/>
    <n v="2025"/>
    <n v="179"/>
    <x v="51"/>
    <x v="1"/>
    <x v="9"/>
    <n v="2618.36"/>
    <n v="2618.36"/>
    <n v="714.81230000000005"/>
    <n v="209.46"/>
    <n v="336"/>
    <n v="80"/>
    <m/>
    <n v="306.8"/>
    <n v="4265.4323000000004"/>
    <n v="643.36"/>
    <n v="1812293.64"/>
    <n v="2.353609915002516E-3"/>
  </r>
  <r>
    <s v="FOLHA-ARTUR"/>
    <x v="1"/>
    <x v="2"/>
    <n v="2025"/>
    <n v="204"/>
    <x v="52"/>
    <x v="2"/>
    <x v="2"/>
    <n v="2501.35"/>
    <n v="2498.65"/>
    <n v="682.13149999999996"/>
    <n v="199.89"/>
    <n v="428"/>
    <m/>
    <m/>
    <m/>
    <n v="3811.3715000000002"/>
    <n v="280.35000000000002"/>
    <n v="1812293.64"/>
    <n v="2.1030650695215156E-3"/>
  </r>
  <r>
    <s v="FOLHA-ARTUR"/>
    <x v="1"/>
    <x v="2"/>
    <n v="2025"/>
    <n v="222"/>
    <x v="53"/>
    <x v="7"/>
    <x v="6"/>
    <n v="1997.09"/>
    <n v="1965.4"/>
    <n v="536.55420000000004"/>
    <n v="157.22999999999999"/>
    <n v="308"/>
    <m/>
    <m/>
    <n v="254.8"/>
    <n v="3253.6741999999999"/>
    <n v="22.09"/>
    <n v="1812293.64"/>
    <n v="1.7953349988029535E-3"/>
  </r>
  <r>
    <s v="FOLHA-ARTUR"/>
    <x v="1"/>
    <x v="2"/>
    <n v="2025"/>
    <n v="252"/>
    <x v="82"/>
    <x v="4"/>
    <x v="8"/>
    <n v="2624.34"/>
    <n v="2599.31"/>
    <n v="709.61159999999995"/>
    <n v="207.94"/>
    <n v="643"/>
    <n v="80"/>
    <m/>
    <m/>
    <n v="4264.8915999999999"/>
    <n v="198.84"/>
    <n v="1812293.64"/>
    <n v="2.3533115913820677E-3"/>
  </r>
  <r>
    <s v="FOLHA-ARTUR"/>
    <x v="1"/>
    <x v="2"/>
    <n v="2025"/>
    <n v="254"/>
    <x v="83"/>
    <x v="7"/>
    <x v="6"/>
    <n v="2179.6799999999998"/>
    <n v="2082.9"/>
    <n v="568.63170000000002"/>
    <n v="166.63"/>
    <n v="336"/>
    <m/>
    <m/>
    <n v="306.8"/>
    <n v="3557.7417"/>
    <n v="204.68"/>
    <n v="1812293.64"/>
    <n v="1.9631154805575548E-3"/>
  </r>
  <r>
    <s v="FOLHA-ARTUR"/>
    <x v="1"/>
    <x v="2"/>
    <n v="2025"/>
    <n v="216"/>
    <x v="54"/>
    <x v="4"/>
    <x v="8"/>
    <n v="2626.81"/>
    <n v="2546"/>
    <n v="695.05799999999999"/>
    <n v="203.68"/>
    <n v="336"/>
    <m/>
    <m/>
    <m/>
    <n v="3861.5479999999998"/>
    <n v="201.31"/>
    <n v="1812293.64"/>
    <n v="2.1307518355579507E-3"/>
  </r>
  <r>
    <s v="FOLHA-ARTUR"/>
    <x v="1"/>
    <x v="2"/>
    <n v="2025"/>
    <n v="221"/>
    <x v="55"/>
    <x v="2"/>
    <x v="2"/>
    <n v="2568.63"/>
    <n v="2568.63"/>
    <n v="701.23599999999999"/>
    <n v="205.49"/>
    <n v="446"/>
    <n v="80"/>
    <m/>
    <m/>
    <n v="4001.3560000000002"/>
    <n v="347.63"/>
    <n v="1812293.64"/>
    <n v="2.2078960614793086E-3"/>
  </r>
  <r>
    <s v="FOLHA-ARTUR"/>
    <x v="1"/>
    <x v="2"/>
    <n v="2025"/>
    <n v="132"/>
    <x v="57"/>
    <x v="3"/>
    <x v="13"/>
    <n v="2427.88"/>
    <n v="2417.71"/>
    <n v="660.03480000000002"/>
    <n v="0"/>
    <n v="322"/>
    <m/>
    <m/>
    <m/>
    <n v="3409.9148"/>
    <n v="189.64"/>
    <n v="1812293.64"/>
    <n v="1.8815465412106176E-3"/>
  </r>
  <r>
    <s v="FOLHA-ARTUR"/>
    <x v="1"/>
    <x v="2"/>
    <n v="2025"/>
    <n v="194"/>
    <x v="58"/>
    <x v="2"/>
    <x v="2"/>
    <n v="2565.1"/>
    <n v="2565.1"/>
    <n v="700.27229999999997"/>
    <n v="205.2"/>
    <n v="642"/>
    <n v="80"/>
    <m/>
    <n v="296.39999999999998"/>
    <n v="4488.9723000000004"/>
    <n v="344.1"/>
    <n v="1812293.64"/>
    <n v="2.4769563832933825E-3"/>
  </r>
  <r>
    <s v="FOLHA-ARTUR"/>
    <x v="1"/>
    <x v="2"/>
    <n v="2025"/>
    <n v="228"/>
    <x v="60"/>
    <x v="3"/>
    <x v="10"/>
    <n v="957.4"/>
    <n v="0"/>
    <n v="0"/>
    <n v="0"/>
    <m/>
    <n v="80"/>
    <m/>
    <n v="284"/>
    <n v="1321.4"/>
    <n v="0"/>
    <n v="1812293.64"/>
    <n v="7.2913129022513163E-4"/>
  </r>
  <r>
    <s v="FOLHA-ARTUR"/>
    <x v="1"/>
    <x v="2"/>
    <n v="2025"/>
    <n v="246"/>
    <x v="61"/>
    <x v="2"/>
    <x v="2"/>
    <n v="3558.18"/>
    <n v="2811.58"/>
    <n v="767.56129999999996"/>
    <n v="224.92"/>
    <n v="530"/>
    <m/>
    <m/>
    <m/>
    <n v="5080.6612999999998"/>
    <n v="622.9"/>
    <n v="1812293.64"/>
    <n v="2.8034426805139592E-3"/>
  </r>
  <r>
    <s v="FOLHA-ARTUR"/>
    <x v="1"/>
    <x v="2"/>
    <n v="2025"/>
    <n v="165"/>
    <x v="63"/>
    <x v="1"/>
    <x v="9"/>
    <n v="2197.35"/>
    <n v="2177.15"/>
    <n v="594.36199999999997"/>
    <n v="174.17"/>
    <n v="336"/>
    <n v="80"/>
    <m/>
    <m/>
    <n v="3381.8820000000001"/>
    <n v="192.65"/>
    <n v="1812293.64"/>
    <n v="1.8660783635481939E-3"/>
  </r>
  <r>
    <s v="FOLHA-ARTUR"/>
    <x v="1"/>
    <x v="2"/>
    <n v="2025"/>
    <n v="210"/>
    <x v="64"/>
    <x v="7"/>
    <x v="3"/>
    <n v="2554.31"/>
    <n v="2545.81"/>
    <n v="695.00609999999995"/>
    <n v="203.66"/>
    <n v="450"/>
    <m/>
    <m/>
    <n v="306.8"/>
    <n v="4209.7761"/>
    <n v="476.1"/>
    <n v="1812293.64"/>
    <n v="2.3228995771347521E-3"/>
  </r>
  <r>
    <s v="FOLHA-ARTUR"/>
    <x v="1"/>
    <x v="2"/>
    <n v="2025"/>
    <n v="167"/>
    <x v="65"/>
    <x v="1"/>
    <x v="9"/>
    <n v="2617.2399999999998"/>
    <n v="2617.2399999999998"/>
    <n v="714.50649999999996"/>
    <n v="209.37"/>
    <n v="336"/>
    <n v="80"/>
    <m/>
    <m/>
    <n v="3957.1165000000001"/>
    <n v="642.24"/>
    <n v="1812293.64"/>
    <n v="2.1834852987731054E-3"/>
  </r>
  <r>
    <s v="FOLHA-ARTUR"/>
    <x v="1"/>
    <x v="2"/>
    <n v="2025"/>
    <n v="224"/>
    <x v="66"/>
    <x v="2"/>
    <x v="2"/>
    <n v="2399.5500000000002"/>
    <n v="2399.5500000000002"/>
    <n v="655.07719999999995"/>
    <n v="191.96"/>
    <n v="316"/>
    <m/>
    <m/>
    <m/>
    <n v="3562.5871999999999"/>
    <n v="178.55"/>
    <n v="1812293.64"/>
    <n v="1.9657891366875848E-3"/>
  </r>
  <r>
    <s v="FOLHA-ARTUR"/>
    <x v="1"/>
    <x v="2"/>
    <n v="2025"/>
    <n v="236"/>
    <x v="67"/>
    <x v="4"/>
    <x v="7"/>
    <n v="2627.1"/>
    <n v="2179.3000000000002"/>
    <n v="594.94889999999998"/>
    <n v="174.34"/>
    <n v="573"/>
    <m/>
    <m/>
    <m/>
    <n v="3969.3888999999999"/>
    <n v="201.6"/>
    <n v="1812293.64"/>
    <n v="2.1902570380371695E-3"/>
  </r>
  <r>
    <s v="FOLHA-ARTUR"/>
    <x v="1"/>
    <x v="2"/>
    <n v="2025"/>
    <n v="256"/>
    <x v="86"/>
    <x v="3"/>
    <x v="6"/>
    <n v="1939.59"/>
    <n v="1140.6099999999999"/>
    <n v="311.38650000000001"/>
    <n v="0"/>
    <n v="378"/>
    <m/>
    <m/>
    <m/>
    <n v="2628.9765000000002"/>
    <n v="30.42"/>
    <n v="1812293.64"/>
    <n v="1.4506349699489095E-3"/>
  </r>
  <r>
    <s v="FOLHA-ARTUR"/>
    <x v="1"/>
    <x v="2"/>
    <n v="2025"/>
    <n v="258"/>
    <x v="87"/>
    <x v="2"/>
    <x v="2"/>
    <n v="1477.73"/>
    <n v="1473.38"/>
    <n v="402.23270000000002"/>
    <n v="117.87"/>
    <m/>
    <m/>
    <m/>
    <m/>
    <n v="1997.8326999999999"/>
    <n v="367.23"/>
    <n v="1812293.64"/>
    <n v="1.102378056130021E-3"/>
  </r>
  <r>
    <s v="FOLHA-ARTUR"/>
    <x v="1"/>
    <x v="2"/>
    <n v="2025"/>
    <n v="257"/>
    <x v="88"/>
    <x v="1"/>
    <x v="9"/>
    <n v="1286.26"/>
    <n v="1286.26"/>
    <n v="351.149"/>
    <n v="102.9"/>
    <m/>
    <m/>
    <m/>
    <m/>
    <n v="1740.309"/>
    <n v="232.93"/>
    <n v="1812293.64"/>
    <n v="9.6027980322217548E-4"/>
  </r>
  <r>
    <s v="FOLHA-ARTUR"/>
    <x v="1"/>
    <x v="2"/>
    <n v="2025"/>
    <n v="250"/>
    <x v="68"/>
    <x v="3"/>
    <x v="6"/>
    <n v="1745.3"/>
    <n v="494.63"/>
    <n v="135.03399999999999"/>
    <n v="39.56"/>
    <n v="210"/>
    <m/>
    <m/>
    <m/>
    <n v="2129.8939999999998"/>
    <n v="0"/>
    <n v="1812293.64"/>
    <n v="1.1752477319293578E-3"/>
  </r>
  <r>
    <s v="FOLHA-ARTUR"/>
    <x v="1"/>
    <x v="2"/>
    <n v="2025"/>
    <n v="205"/>
    <x v="69"/>
    <x v="3"/>
    <x v="6"/>
    <n v="2216.44"/>
    <n v="1990.03"/>
    <n v="543.27819999999997"/>
    <n v="159.19999999999999"/>
    <n v="337"/>
    <m/>
    <m/>
    <m/>
    <n v="3255.9182000000001"/>
    <n v="145.44"/>
    <n v="1812293.64"/>
    <n v="1.7965732032254997E-3"/>
  </r>
  <r>
    <s v="FOLHA-ARTUR"/>
    <x v="1"/>
    <x v="2"/>
    <n v="2025"/>
    <n v="255"/>
    <x v="84"/>
    <x v="2"/>
    <x v="2"/>
    <n v="2484.84"/>
    <n v="2484.84"/>
    <n v="678.36130000000003"/>
    <n v="198.78"/>
    <n v="454"/>
    <n v="80"/>
    <m/>
    <m/>
    <n v="3895.9812999999999"/>
    <n v="263.83999999999997"/>
    <n v="1812293.64"/>
    <n v="2.1497516925568423E-3"/>
  </r>
  <r>
    <s v="FOLHA-ARTUR"/>
    <x v="1"/>
    <x v="2"/>
    <n v="2025"/>
    <n v="215"/>
    <x v="71"/>
    <x v="2"/>
    <x v="2"/>
    <n v="3471.19"/>
    <n v="0"/>
    <n v="0"/>
    <n v="0"/>
    <m/>
    <m/>
    <m/>
    <m/>
    <n v="3471.19"/>
    <n v="0"/>
    <n v="1812293.64"/>
    <n v="1.9153573810478089E-3"/>
  </r>
  <r>
    <s v="FOLHA-ARTUR"/>
    <x v="1"/>
    <x v="2"/>
    <n v="2025"/>
    <n v="240"/>
    <x v="72"/>
    <x v="2"/>
    <x v="2"/>
    <n v="3912.6"/>
    <n v="2668.65"/>
    <n v="728.54150000000004"/>
    <n v="298.87"/>
    <n v="324"/>
    <m/>
    <m/>
    <m/>
    <n v="5264.0114000000003"/>
    <n v="0"/>
    <n v="1812293.64"/>
    <n v="2.9046128805042875E-3"/>
  </r>
  <r>
    <s v="FOLHA-ARTUR"/>
    <x v="1"/>
    <x v="2"/>
    <n v="2025"/>
    <n v="123"/>
    <x v="73"/>
    <x v="2"/>
    <x v="14"/>
    <n v="2823.96"/>
    <n v="2821.53"/>
    <n v="770.27769999999998"/>
    <n v="225.72"/>
    <n v="572"/>
    <m/>
    <m/>
    <n v="306.8"/>
    <n v="4698.7577000000001"/>
    <n v="502.66"/>
    <n v="1812293.64"/>
    <n v="2.5927132260972906E-3"/>
  </r>
  <r>
    <s v="FOLHA-ARTUR"/>
    <x v="1"/>
    <x v="2"/>
    <n v="2025"/>
    <n v="152"/>
    <x v="74"/>
    <x v="2"/>
    <x v="2"/>
    <n v="2383.2800000000002"/>
    <n v="2317.31"/>
    <n v="632.62559999999996"/>
    <n v="185.38"/>
    <n v="271"/>
    <m/>
    <m/>
    <n v="216.8"/>
    <n v="3689.0855999999999"/>
    <n v="162.28"/>
    <n v="1812293.64"/>
    <n v="2.0355893485340493E-3"/>
  </r>
  <r>
    <s v="FOLHA-ARTUR"/>
    <x v="1"/>
    <x v="2"/>
    <n v="2025"/>
    <n v="247"/>
    <x v="75"/>
    <x v="2"/>
    <x v="2"/>
    <n v="2568.88"/>
    <n v="2552.94"/>
    <n v="696.95259999999996"/>
    <n v="204.23"/>
    <n v="347"/>
    <n v="80"/>
    <m/>
    <m/>
    <n v="3897.0626000000002"/>
    <n v="347.88"/>
    <n v="1812293.64"/>
    <n v="2.1503483397977384E-3"/>
  </r>
  <r>
    <s v="FOLHA-ARTUR"/>
    <x v="1"/>
    <x v="2"/>
    <n v="2025"/>
    <n v="249"/>
    <x v="76"/>
    <x v="4"/>
    <x v="8"/>
    <n v="2857.56"/>
    <n v="2721.73"/>
    <n v="743.03229999999996"/>
    <n v="0"/>
    <n v="929"/>
    <m/>
    <m/>
    <m/>
    <n v="4529.5923000000003"/>
    <n v="432.06"/>
    <n v="1812293.64"/>
    <n v="2.4993699641300956E-3"/>
  </r>
  <r>
    <s v="FOLHA-ARTUR"/>
    <x v="1"/>
    <x v="2"/>
    <n v="2025"/>
    <n v="248"/>
    <x v="77"/>
    <x v="3"/>
    <x v="6"/>
    <n v="2024.01"/>
    <n v="2024.01"/>
    <n v="552.55470000000003"/>
    <n v="161.91999999999999"/>
    <n v="340"/>
    <n v="80"/>
    <m/>
    <n v="306.8"/>
    <n v="3465.2847000000002"/>
    <n v="49.01"/>
    <n v="1812293.64"/>
    <n v="1.9120989300608041E-3"/>
  </r>
  <r>
    <s v="FOLHA-ARTUR"/>
    <x v="1"/>
    <x v="2"/>
    <n v="2025"/>
    <n v="2005"/>
    <x v="78"/>
    <x v="3"/>
    <x v="10"/>
    <n v="999.32"/>
    <m/>
    <n v="0"/>
    <m/>
    <m/>
    <n v="80"/>
    <m/>
    <n v="306"/>
    <n v="1385.32"/>
    <m/>
    <n v="1812293.64"/>
    <n v="7.644015127703037E-4"/>
  </r>
  <r>
    <s v="FOLHA-ARTUR"/>
    <x v="1"/>
    <x v="2"/>
    <n v="2025"/>
    <n v="2006"/>
    <x v="79"/>
    <x v="3"/>
    <x v="10"/>
    <n v="1008.27"/>
    <m/>
    <n v="0"/>
    <m/>
    <m/>
    <n v="80"/>
    <m/>
    <n v="306.8"/>
    <n v="1395.07"/>
    <m/>
    <n v="1812293.64"/>
    <n v="7.6978143563975645E-4"/>
  </r>
  <r>
    <s v="FOLHA-NIVIAMATRIZ"/>
    <x v="2"/>
    <x v="0"/>
    <n v="2025"/>
    <n v="290"/>
    <x v="89"/>
    <x v="3"/>
    <x v="6"/>
    <n v="3056.61"/>
    <n v="2320.41"/>
    <n v="633.47190000000001"/>
    <n v="259.87"/>
    <n v="308"/>
    <n v="0"/>
    <n v="0"/>
    <n v="0"/>
    <n v="4257.9519"/>
    <n v="16.75"/>
    <n v="2348338.65"/>
    <n v="1.813176276769111E-3"/>
  </r>
  <r>
    <s v="FOLHA-NIVIAMATRIZ"/>
    <x v="2"/>
    <x v="0"/>
    <n v="2025"/>
    <n v="294"/>
    <x v="90"/>
    <x v="4"/>
    <x v="9"/>
    <n v="1981.2"/>
    <n v="1925.72"/>
    <n v="525.72159999999997"/>
    <n v="154.05000000000001"/>
    <n v="308"/>
    <n v="0"/>
    <n v="0"/>
    <n v="0"/>
    <n v="2968.9715999999999"/>
    <n v="6.2"/>
    <n v="2348338.65"/>
    <n v="1.2642859495584251E-3"/>
  </r>
  <r>
    <s v="FOLHA-NIVIAMATRIZ"/>
    <x v="2"/>
    <x v="0"/>
    <n v="2025"/>
    <n v="92"/>
    <x v="91"/>
    <x v="2"/>
    <x v="14"/>
    <n v="2588.1799999999998"/>
    <n v="2588.1799999999998"/>
    <n v="706.57309999999995"/>
    <n v="207.05"/>
    <n v="400"/>
    <n v="80"/>
    <n v="0"/>
    <n v="0"/>
    <n v="3981.8031000000001"/>
    <n v="266.88"/>
    <n v="2348338.65"/>
    <n v="1.6955830199362433E-3"/>
  </r>
  <r>
    <s v="FOLHA-NIVIAMATRIZ"/>
    <x v="2"/>
    <x v="0"/>
    <n v="2025"/>
    <n v="269"/>
    <x v="92"/>
    <x v="3"/>
    <x v="13"/>
    <n v="2501.14"/>
    <n v="2393.3000000000002"/>
    <n v="653.37090000000001"/>
    <n v="191.46"/>
    <n v="308"/>
    <n v="0"/>
    <n v="0"/>
    <n v="306.8"/>
    <n v="3960.7709"/>
    <n v="9.5"/>
    <n v="2348338.65"/>
    <n v="1.6866267989073891E-3"/>
  </r>
  <r>
    <s v="FOLHA-NIVIAMATRIZ"/>
    <x v="2"/>
    <x v="0"/>
    <n v="2025"/>
    <n v="279"/>
    <x v="93"/>
    <x v="8"/>
    <x v="15"/>
    <n v="2369.63"/>
    <n v="647.37"/>
    <n v="176.732"/>
    <n v="72.489999999999995"/>
    <n v="0"/>
    <n v="0"/>
    <n v="0"/>
    <n v="0"/>
    <n v="2618.8519999999999"/>
    <n v="0"/>
    <n v="2348338.65"/>
    <n v="1.115193504991284E-3"/>
  </r>
  <r>
    <s v="FOLHA-NIVIAMATRIZ"/>
    <x v="2"/>
    <x v="0"/>
    <n v="2025"/>
    <n v="292"/>
    <x v="94"/>
    <x v="8"/>
    <x v="15"/>
    <n v="2174.7600000000002"/>
    <n v="2174.7600000000002"/>
    <n v="593.70950000000005"/>
    <n v="173.98"/>
    <n v="336"/>
    <n v="0"/>
    <n v="0"/>
    <n v="0"/>
    <n v="3278.4495000000002"/>
    <n v="199.76"/>
    <n v="2348338.65"/>
    <n v="1.3960718484959571E-3"/>
  </r>
  <r>
    <s v="FOLHA-NIVIAMATRIZ"/>
    <x v="2"/>
    <x v="0"/>
    <n v="2025"/>
    <n v="293"/>
    <x v="95"/>
    <x v="7"/>
    <x v="6"/>
    <n v="2147.27"/>
    <n v="2147.27"/>
    <n v="586.2047"/>
    <n v="171.78"/>
    <n v="308"/>
    <n v="0"/>
    <n v="0"/>
    <n v="306.8"/>
    <n v="3520.0547000000001"/>
    <n v="172.27"/>
    <n v="2348338.65"/>
    <n v="1.4989553189017268E-3"/>
  </r>
  <r>
    <s v="FOLHA-NIVIAMATRIZ"/>
    <x v="2"/>
    <x v="0"/>
    <n v="2025"/>
    <n v="248"/>
    <x v="96"/>
    <x v="8"/>
    <x v="15"/>
    <n v="2179.56"/>
    <n v="2176.15"/>
    <n v="594.08900000000006"/>
    <n v="174.09"/>
    <n v="336"/>
    <n v="0"/>
    <n v="0"/>
    <n v="0"/>
    <n v="3283.7388999999998"/>
    <n v="110.94"/>
    <n v="2348338.65"/>
    <n v="1.3983242791664652E-3"/>
  </r>
  <r>
    <s v="FOLHA-NIVIAMATRIZ"/>
    <x v="2"/>
    <x v="0"/>
    <n v="2025"/>
    <n v="234"/>
    <x v="97"/>
    <x v="2"/>
    <x v="2"/>
    <n v="2331.39"/>
    <n v="2122.6"/>
    <n v="579.46979999999996"/>
    <n v="169.8"/>
    <n v="308"/>
    <n v="0"/>
    <n v="0"/>
    <n v="0"/>
    <n v="3388.6597999999999"/>
    <n v="0"/>
    <n v="2348338.65"/>
    <n v="1.4430030353586353E-3"/>
  </r>
  <r>
    <s v="FOLHA-NIVIAMATRIZ"/>
    <x v="2"/>
    <x v="0"/>
    <n v="2025"/>
    <n v="273"/>
    <x v="98"/>
    <x v="8"/>
    <x v="15"/>
    <n v="2234.12"/>
    <n v="2232.14"/>
    <n v="609.37419999999997"/>
    <n v="178.57"/>
    <n v="336"/>
    <n v="80"/>
    <n v="0"/>
    <n v="0"/>
    <n v="3438.0641999999998"/>
    <n v="163.38999999999999"/>
    <n v="2348338.65"/>
    <n v="1.4640410657977292E-3"/>
  </r>
  <r>
    <s v="FOLHA-NIVIAMATRIZ"/>
    <x v="2"/>
    <x v="0"/>
    <n v="2025"/>
    <n v="76"/>
    <x v="99"/>
    <x v="8"/>
    <x v="16"/>
    <n v="3081"/>
    <n v="3081"/>
    <n v="841.11300000000006"/>
    <n v="246.48"/>
    <n v="400"/>
    <n v="80"/>
    <n v="122.84"/>
    <n v="0"/>
    <n v="4771.433"/>
    <n v="636.77"/>
    <n v="2348338.65"/>
    <n v="2.0318334410584266E-3"/>
  </r>
  <r>
    <s v="FOLHA-NIVIAMATRIZ"/>
    <x v="2"/>
    <x v="0"/>
    <n v="2025"/>
    <n v="297"/>
    <x v="100"/>
    <x v="3"/>
    <x v="6"/>
    <n v="2031.98"/>
    <n v="2007.74"/>
    <n v="548.11300000000006"/>
    <n v="160.61000000000001"/>
    <n v="308"/>
    <n v="0"/>
    <n v="0"/>
    <n v="0"/>
    <n v="3048.703"/>
    <n v="56.98"/>
    <n v="2348338.65"/>
    <n v="1.2982382332292659E-3"/>
  </r>
  <r>
    <s v="FOLHA-NIVIAMATRIZ"/>
    <x v="2"/>
    <x v="0"/>
    <n v="2025"/>
    <n v="296"/>
    <x v="101"/>
    <x v="2"/>
    <x v="2"/>
    <n v="2262.11"/>
    <n v="2226.85"/>
    <n v="607.93010000000004"/>
    <n v="178.14"/>
    <n v="308"/>
    <n v="0"/>
    <n v="0"/>
    <n v="306.8"/>
    <n v="3662.9801000000002"/>
    <n v="41.11"/>
    <n v="2348338.65"/>
    <n v="1.5598176395895883E-3"/>
  </r>
  <r>
    <s v="FOLHA-NIVIAMATRIZ"/>
    <x v="2"/>
    <x v="0"/>
    <n v="2025"/>
    <n v="284"/>
    <x v="102"/>
    <x v="3"/>
    <x v="6"/>
    <n v="2038.73"/>
    <n v="2038.73"/>
    <n v="556.57330000000002"/>
    <n v="163.09"/>
    <n v="308"/>
    <n v="80"/>
    <n v="0"/>
    <n v="0"/>
    <n v="3146.3933000000002"/>
    <n v="14.25"/>
    <n v="2348338.65"/>
    <n v="1.3398379701326298E-3"/>
  </r>
  <r>
    <s v="FOLHA-NIVIAMATRIZ"/>
    <x v="2"/>
    <x v="0"/>
    <n v="2025"/>
    <n v="236"/>
    <x v="103"/>
    <x v="3"/>
    <x v="6"/>
    <n v="2767.14"/>
    <n v="2498.94"/>
    <n v="682.2106"/>
    <n v="199.91"/>
    <n v="0"/>
    <n v="0"/>
    <n v="0"/>
    <n v="0"/>
    <n v="3649.2606000000001"/>
    <n v="9.68"/>
    <n v="2348338.65"/>
    <n v="1.5539754540938974E-3"/>
  </r>
  <r>
    <s v="FOLHA-NIVIAMATRIZ"/>
    <x v="2"/>
    <x v="0"/>
    <n v="2025"/>
    <n v="266"/>
    <x v="104"/>
    <x v="2"/>
    <x v="2"/>
    <n v="2347.94"/>
    <n v="2319.25"/>
    <n v="633.15530000000001"/>
    <n v="185.54"/>
    <n v="308"/>
    <n v="0"/>
    <n v="0"/>
    <n v="0"/>
    <n v="3474.6352999999999"/>
    <n v="9.56"/>
    <n v="2348338.65"/>
    <n v="1.4796142157776095E-3"/>
  </r>
  <r>
    <s v="FOLHA-NIVIAMATRIZ"/>
    <x v="2"/>
    <x v="0"/>
    <n v="2025"/>
    <n v="288"/>
    <x v="105"/>
    <x v="1"/>
    <x v="9"/>
    <n v="2650.37"/>
    <n v="864.37"/>
    <n v="235.97300000000001"/>
    <n v="69.14"/>
    <n v="308"/>
    <n v="0"/>
    <n v="0"/>
    <n v="0"/>
    <n v="3263.4830000000002"/>
    <n v="18.96"/>
    <n v="2348338.65"/>
    <n v="1.3896986322649845E-3"/>
  </r>
  <r>
    <s v="FOLHA-NIVIAMATRIZ"/>
    <x v="2"/>
    <x v="0"/>
    <n v="2025"/>
    <n v="242"/>
    <x v="106"/>
    <x v="2"/>
    <x v="14"/>
    <n v="2602.1799999999998"/>
    <n v="2602.1799999999998"/>
    <n v="710.39509999999996"/>
    <n v="208.17"/>
    <n v="400"/>
    <n v="80"/>
    <n v="0"/>
    <n v="0"/>
    <n v="4000.7451000000001"/>
    <n v="147.72"/>
    <n v="2348338.65"/>
    <n v="1.7036491478773729E-3"/>
  </r>
  <r>
    <s v="FOLHA-NIVIAMATRIZ"/>
    <x v="2"/>
    <x v="0"/>
    <n v="2025"/>
    <n v="78"/>
    <x v="107"/>
    <x v="2"/>
    <x v="2"/>
    <n v="2345.2800000000002"/>
    <n v="2271.39"/>
    <n v="620.08950000000004"/>
    <n v="181.71"/>
    <n v="308"/>
    <n v="0"/>
    <n v="122.84"/>
    <n v="0"/>
    <n v="3577.9195"/>
    <n v="3.24"/>
    <n v="2348338.65"/>
    <n v="1.523596040971348E-3"/>
  </r>
  <r>
    <s v="FOLHA-NIVIAMATRIZ"/>
    <x v="2"/>
    <x v="0"/>
    <n v="2025"/>
    <n v="286"/>
    <x v="108"/>
    <x v="1"/>
    <x v="9"/>
    <n v="2076.87"/>
    <n v="2064.0300000000002"/>
    <n v="563.48019999999997"/>
    <n v="165.12"/>
    <n v="308"/>
    <n v="0"/>
    <n v="0"/>
    <n v="0"/>
    <n v="3113.4702000000002"/>
    <n v="68.709999999999994"/>
    <n v="2348338.65"/>
    <n v="1.325818228984989E-3"/>
  </r>
  <r>
    <s v="FOLHA-NIVIAMATRIZ"/>
    <x v="2"/>
    <x v="0"/>
    <n v="2025"/>
    <n v="262"/>
    <x v="109"/>
    <x v="2"/>
    <x v="14"/>
    <n v="2583.67"/>
    <n v="2583.67"/>
    <n v="705.34190000000001"/>
    <n v="206.69"/>
    <n v="400"/>
    <n v="80"/>
    <n v="0"/>
    <n v="0"/>
    <n v="3975.7019"/>
    <n v="126.44"/>
    <n v="2348338.65"/>
    <n v="1.6929849151015764E-3"/>
  </r>
  <r>
    <s v="FOLHA-NIVIAMATRIZ"/>
    <x v="2"/>
    <x v="0"/>
    <n v="2025"/>
    <n v="252"/>
    <x v="110"/>
    <x v="2"/>
    <x v="2"/>
    <n v="2395.27"/>
    <n v="2395.27"/>
    <n v="653.90869999999995"/>
    <n v="191.62"/>
    <n v="308"/>
    <n v="80"/>
    <n v="122.84"/>
    <n v="0"/>
    <n v="3751.6387"/>
    <n v="53.19"/>
    <n v="2348338.65"/>
    <n v="1.5975714192669784E-3"/>
  </r>
  <r>
    <s v="FOLHA-NIVIAMATRIZ"/>
    <x v="2"/>
    <x v="0"/>
    <n v="2025"/>
    <n v="274"/>
    <x v="111"/>
    <x v="3"/>
    <x v="6"/>
    <n v="2177.54"/>
    <n v="2102.85"/>
    <n v="574.07799999999997"/>
    <n v="168.22"/>
    <n v="308"/>
    <n v="0"/>
    <n v="0"/>
    <n v="0"/>
    <n v="3227.8380000000002"/>
    <n v="89.15"/>
    <n v="2348338.65"/>
    <n v="1.3745198334149974E-3"/>
  </r>
  <r>
    <s v="FOLHA-NIVIAMATRIZ"/>
    <x v="2"/>
    <x v="0"/>
    <n v="2025"/>
    <n v="183"/>
    <x v="112"/>
    <x v="8"/>
    <x v="15"/>
    <n v="2226.4699999999998"/>
    <n v="2224.67"/>
    <n v="607.33489999999995"/>
    <n v="177.97"/>
    <n v="336"/>
    <n v="80"/>
    <n v="0"/>
    <n v="0"/>
    <n v="3427.7748999999999"/>
    <n v="147.81"/>
    <n v="2348338.65"/>
    <n v="1.4596595384571132E-3"/>
  </r>
  <r>
    <s v="FOLHA-NIVIAMATRIZ"/>
    <x v="2"/>
    <x v="0"/>
    <n v="2025"/>
    <n v="257"/>
    <x v="113"/>
    <x v="2"/>
    <x v="2"/>
    <n v="2349.19"/>
    <n v="2237.4299999999998"/>
    <n v="610.8184"/>
    <n v="178.99"/>
    <n v="308"/>
    <n v="0"/>
    <n v="0"/>
    <n v="0"/>
    <n v="3446.9983999999999"/>
    <n v="10.82"/>
    <n v="2348338.65"/>
    <n v="1.4678455298600139E-3"/>
  </r>
  <r>
    <s v="FOLHA-NIVIAMATRIZ"/>
    <x v="2"/>
    <x v="0"/>
    <n v="2025"/>
    <n v="241"/>
    <x v="114"/>
    <x v="2"/>
    <x v="2"/>
    <n v="2329.6999999999998"/>
    <n v="2228.7600000000002"/>
    <n v="608.45150000000001"/>
    <n v="178.3"/>
    <n v="308"/>
    <n v="0"/>
    <n v="0"/>
    <n v="0"/>
    <n v="3424.4515000000001"/>
    <n v="0"/>
    <n v="2348338.65"/>
    <n v="1.4582443124206126E-3"/>
  </r>
  <r>
    <s v="FOLHA-NIVIAMATRIZ"/>
    <x v="2"/>
    <x v="0"/>
    <n v="2025"/>
    <n v="128"/>
    <x v="115"/>
    <x v="3"/>
    <x v="4"/>
    <n v="3210.24"/>
    <n v="3210.24"/>
    <n v="876.39549999999997"/>
    <n v="256.81"/>
    <n v="500"/>
    <n v="80"/>
    <n v="0"/>
    <n v="0"/>
    <n v="4923.4454999999998"/>
    <n v="380.54"/>
    <n v="2348338.65"/>
    <n v="2.0965653825098861E-3"/>
  </r>
  <r>
    <s v="FOLHA-NIVIAMATRIZ"/>
    <x v="2"/>
    <x v="0"/>
    <n v="2025"/>
    <n v="289"/>
    <x v="116"/>
    <x v="4"/>
    <x v="8"/>
    <n v="2222.61"/>
    <n v="786.11"/>
    <n v="214.608"/>
    <n v="346.67"/>
    <n v="628"/>
    <n v="0"/>
    <n v="0"/>
    <n v="0"/>
    <n v="3411.8879999999999"/>
    <n v="13.38"/>
    <n v="2348338.65"/>
    <n v="1.4528943813108047E-3"/>
  </r>
  <r>
    <s v="FOLHA-NIVIAMATRIZ"/>
    <x v="2"/>
    <x v="0"/>
    <n v="2025"/>
    <n v="261"/>
    <x v="117"/>
    <x v="2"/>
    <x v="2"/>
    <n v="2347.89"/>
    <n v="2340.16"/>
    <n v="638.86369999999999"/>
    <n v="187.21"/>
    <n v="308"/>
    <n v="0"/>
    <n v="0"/>
    <n v="0"/>
    <n v="3481.9636999999998"/>
    <n v="7.76"/>
    <n v="2348338.65"/>
    <n v="1.4827349028216179E-3"/>
  </r>
  <r>
    <s v="FOLHA-NIVIAMATRIZ"/>
    <x v="2"/>
    <x v="0"/>
    <n v="2025"/>
    <n v="175"/>
    <x v="118"/>
    <x v="4"/>
    <x v="7"/>
    <n v="2374.04"/>
    <n v="2289.29"/>
    <n v="624.97619999999995"/>
    <n v="183.14"/>
    <n v="308"/>
    <n v="0"/>
    <n v="0"/>
    <n v="0"/>
    <n v="3490.1561999999999"/>
    <n v="7.22"/>
    <n v="2348338.65"/>
    <n v="1.486223535093629E-3"/>
  </r>
  <r>
    <s v="FOLHA-NIVIAMATRIZ"/>
    <x v="2"/>
    <x v="0"/>
    <n v="2025"/>
    <n v="124"/>
    <x v="119"/>
    <x v="3"/>
    <x v="4"/>
    <n v="3135.93"/>
    <n v="3135.93"/>
    <n v="856.10889999999995"/>
    <n v="250.87"/>
    <n v="500"/>
    <n v="0"/>
    <n v="0"/>
    <n v="0"/>
    <n v="4742.9089000000004"/>
    <n v="319.19"/>
    <n v="2348338.65"/>
    <n v="2.0196869348464712E-3"/>
  </r>
  <r>
    <s v="FOLHA-NIVIAMATRIZ"/>
    <x v="2"/>
    <x v="0"/>
    <n v="2025"/>
    <n v="206"/>
    <x v="120"/>
    <x v="3"/>
    <x v="13"/>
    <n v="2402.1"/>
    <n v="2402.1"/>
    <n v="655.77329999999995"/>
    <n v="192.16"/>
    <n v="322"/>
    <n v="0"/>
    <n v="0"/>
    <n v="0"/>
    <n v="3572.0333000000001"/>
    <n v="42.35"/>
    <n v="2348338.65"/>
    <n v="1.5210895157732043E-3"/>
  </r>
  <r>
    <s v="FOLHA-NIVIAMATRIZ"/>
    <x v="2"/>
    <x v="0"/>
    <n v="2025"/>
    <n v="239"/>
    <x v="121"/>
    <x v="1"/>
    <x v="9"/>
    <n v="2077.4699999999998"/>
    <n v="1996.67"/>
    <n v="545.09090000000003"/>
    <n v="159.72999999999999"/>
    <n v="308"/>
    <n v="0"/>
    <n v="0"/>
    <n v="0"/>
    <n v="3090.2909"/>
    <n v="0"/>
    <n v="2348338.65"/>
    <n v="1.3159477275562449E-3"/>
  </r>
  <r>
    <s v="FOLHA-NIVIAMATRIZ"/>
    <x v="2"/>
    <x v="0"/>
    <n v="2025"/>
    <n v="51"/>
    <x v="122"/>
    <x v="6"/>
    <x v="11"/>
    <n v="8157.41"/>
    <n v="8157.41"/>
    <n v="1631.482"/>
    <n v="0"/>
    <n v="0"/>
    <n v="0"/>
    <n v="0"/>
    <n v="0"/>
    <n v="9788.8919999999998"/>
    <n v="0"/>
    <n v="2348338.65"/>
    <n v="4.1684328621001913E-3"/>
  </r>
  <r>
    <s v="FOLHA-NIVIAMATRIZ"/>
    <x v="2"/>
    <x v="0"/>
    <n v="2025"/>
    <n v="176"/>
    <x v="123"/>
    <x v="2"/>
    <x v="14"/>
    <n v="2630.52"/>
    <n v="2630.52"/>
    <n v="718.13199999999995"/>
    <n v="210.44"/>
    <n v="400"/>
    <n v="80"/>
    <n v="0"/>
    <n v="0"/>
    <n v="4039.0920000000001"/>
    <n v="55.15"/>
    <n v="2348338.65"/>
    <n v="1.7199784877704924E-3"/>
  </r>
  <r>
    <s v="FOLHA-NIVIAMATRIZ"/>
    <x v="2"/>
    <x v="0"/>
    <n v="2025"/>
    <n v="130"/>
    <x v="124"/>
    <x v="7"/>
    <x v="3"/>
    <n v="2202.89"/>
    <n v="2046.21"/>
    <n v="558.61530000000005"/>
    <n v="163.69"/>
    <n v="308"/>
    <n v="0"/>
    <n v="0"/>
    <n v="0"/>
    <n v="3233.1952999999999"/>
    <n v="14.46"/>
    <n v="2348338.65"/>
    <n v="1.3768011398185692E-3"/>
  </r>
  <r>
    <s v="FOLHA-NIVIAMATRIZ"/>
    <x v="2"/>
    <x v="0"/>
    <n v="2025"/>
    <n v="277"/>
    <x v="125"/>
    <x v="3"/>
    <x v="3"/>
    <n v="2252.63"/>
    <n v="2235.91"/>
    <n v="610.40340000000003"/>
    <n v="178.87"/>
    <n v="308"/>
    <n v="0"/>
    <n v="0"/>
    <n v="0"/>
    <n v="3349.9034000000001"/>
    <n v="62.24"/>
    <n v="2348338.65"/>
    <n v="1.4264992955764708E-3"/>
  </r>
  <r>
    <s v="FOLHA-NIVIAMATRIZ"/>
    <x v="2"/>
    <x v="0"/>
    <n v="2025"/>
    <n v="280"/>
    <x v="126"/>
    <x v="2"/>
    <x v="2"/>
    <n v="2373.84"/>
    <n v="1232.68"/>
    <n v="336.52159999999998"/>
    <n v="138.04"/>
    <n v="308"/>
    <n v="0"/>
    <n v="0"/>
    <n v="0"/>
    <n v="3156.4016000000001"/>
    <n v="0"/>
    <n v="2348338.65"/>
    <n v="1.3440998554446141E-3"/>
  </r>
  <r>
    <s v="FOLHA-NIVIAMATRIZ"/>
    <x v="2"/>
    <x v="0"/>
    <n v="2025"/>
    <n v="79"/>
    <x v="127"/>
    <x v="3"/>
    <x v="6"/>
    <n v="2281.7399999999998"/>
    <n v="2232.9899999999998"/>
    <n v="609.60630000000003"/>
    <n v="178.63"/>
    <n v="308"/>
    <n v="80"/>
    <n v="0"/>
    <n v="0"/>
    <n v="3457.9762999999998"/>
    <n v="145.79"/>
    <n v="2348338.65"/>
    <n v="1.4725202730023626E-3"/>
  </r>
  <r>
    <s v="FOLHA-NIVIAMATRIZ"/>
    <x v="2"/>
    <x v="0"/>
    <n v="2025"/>
    <n v="298"/>
    <x v="128"/>
    <x v="7"/>
    <x v="6"/>
    <n v="2119.62"/>
    <n v="2116.75"/>
    <n v="577.87279999999998"/>
    <n v="169.34"/>
    <n v="308"/>
    <n v="0"/>
    <n v="0"/>
    <n v="0"/>
    <n v="3174.8328000000001"/>
    <n v="144.62"/>
    <n v="2348338.65"/>
    <n v="1.3519484295844641E-3"/>
  </r>
  <r>
    <s v="FOLHA-NIVIAMATRIZ"/>
    <x v="2"/>
    <x v="0"/>
    <n v="2025"/>
    <n v="94"/>
    <x v="129"/>
    <x v="4"/>
    <x v="8"/>
    <n v="2556.36"/>
    <n v="2509.7199999999998"/>
    <n v="685.15359999999998"/>
    <n v="200.77"/>
    <n v="322"/>
    <n v="0"/>
    <n v="0"/>
    <n v="0"/>
    <n v="3764.2836000000002"/>
    <n v="4.74"/>
    <n v="2348338.65"/>
    <n v="1.6029560131797856E-3"/>
  </r>
  <r>
    <s v="FOLHA-NIVIAMATRIZ"/>
    <x v="2"/>
    <x v="0"/>
    <n v="2025"/>
    <n v="55"/>
    <x v="130"/>
    <x v="1"/>
    <x v="4"/>
    <n v="2681.88"/>
    <n v="2681.88"/>
    <n v="732.15319999999997"/>
    <n v="214.55"/>
    <n v="308"/>
    <n v="80"/>
    <n v="0"/>
    <n v="0"/>
    <n v="4016.5832"/>
    <n v="230.84"/>
    <n v="2348338.65"/>
    <n v="1.7103935328918597E-3"/>
  </r>
  <r>
    <s v="FOLHA-NIVIAMATRIZ"/>
    <x v="2"/>
    <x v="0"/>
    <n v="2025"/>
    <n v="246"/>
    <x v="131"/>
    <x v="2"/>
    <x v="2"/>
    <n v="2490.5300000000002"/>
    <n v="2466.19"/>
    <n v="673.26990000000001"/>
    <n v="197.29"/>
    <n v="308"/>
    <n v="0"/>
    <n v="122.84"/>
    <n v="0"/>
    <n v="3791.9299000000001"/>
    <n v="145.68"/>
    <n v="2348338.65"/>
    <n v="1.6147287232188595E-3"/>
  </r>
  <r>
    <s v="FOLHA-NIVIAMATRIZ"/>
    <x v="2"/>
    <x v="0"/>
    <n v="2025"/>
    <n v="281"/>
    <x v="132"/>
    <x v="3"/>
    <x v="13"/>
    <n v="2432.7800000000002"/>
    <n v="2283.56"/>
    <n v="623.41189999999995"/>
    <n v="182.68"/>
    <n v="308"/>
    <n v="0"/>
    <n v="0"/>
    <n v="0"/>
    <n v="3546.8719000000001"/>
    <n v="106.73"/>
    <n v="2348338.65"/>
    <n v="1.5103749537997851E-3"/>
  </r>
  <r>
    <s v="FOLHA-NIVIAMATRIZ"/>
    <x v="2"/>
    <x v="0"/>
    <n v="2025"/>
    <n v="44"/>
    <x v="133"/>
    <x v="1"/>
    <x v="7"/>
    <n v="2419.06"/>
    <n v="2399.2199999999998"/>
    <n v="654.98710000000005"/>
    <n v="191.93"/>
    <n v="308"/>
    <n v="0"/>
    <n v="0"/>
    <n v="0"/>
    <n v="3573.9771000000001"/>
    <n v="63.05"/>
    <n v="2348338.65"/>
    <n v="1.5219172328488483E-3"/>
  </r>
  <r>
    <s v="FOLHA-NIVIAMATRIZ"/>
    <x v="2"/>
    <x v="0"/>
    <n v="2025"/>
    <n v="196"/>
    <x v="134"/>
    <x v="1"/>
    <x v="7"/>
    <n v="2441.64"/>
    <n v="2441.64"/>
    <n v="666.56769999999995"/>
    <n v="195.33"/>
    <n v="308"/>
    <n v="80"/>
    <n v="122.84"/>
    <n v="306.8"/>
    <n v="4121.1777000000002"/>
    <n v="80.709999999999994"/>
    <n v="2348338.65"/>
    <n v="1.7549333099806535E-3"/>
  </r>
  <r>
    <s v="FOLHA-NIVIAMATRIZ"/>
    <x v="2"/>
    <x v="0"/>
    <n v="2025"/>
    <n v="299"/>
    <x v="135"/>
    <x v="2"/>
    <x v="2"/>
    <n v="2224.2399999999998"/>
    <n v="2140.56"/>
    <n v="584.37289999999996"/>
    <n v="171.24"/>
    <n v="308"/>
    <n v="0"/>
    <n v="0"/>
    <n v="306.8"/>
    <n v="3594.6529"/>
    <n v="3.24"/>
    <n v="2348338.65"/>
    <n v="1.5307216784938575E-3"/>
  </r>
  <r>
    <s v="FOLHA-NIVIAMATRIZ"/>
    <x v="2"/>
    <x v="0"/>
    <n v="2025"/>
    <n v="148"/>
    <x v="136"/>
    <x v="8"/>
    <x v="17"/>
    <n v="2217.2800000000002"/>
    <n v="91.59"/>
    <n v="25.004100000000001"/>
    <n v="177.38"/>
    <n v="0"/>
    <n v="0"/>
    <n v="0"/>
    <n v="0"/>
    <n v="2419.6641"/>
    <n v="0"/>
    <n v="2348338.65"/>
    <n v="1.0303727147700781E-3"/>
  </r>
  <r>
    <s v="FOLHA-NIVIAMATRIZ"/>
    <x v="2"/>
    <x v="0"/>
    <n v="2025"/>
    <n v="2007"/>
    <x v="137"/>
    <x v="3"/>
    <x v="10"/>
    <n v="820"/>
    <n v="0"/>
    <n v="0"/>
    <n v="0"/>
    <n v="0"/>
    <n v="0"/>
    <n v="0"/>
    <n v="0"/>
    <n v="820"/>
    <n v="43.42"/>
    <n v="2348338.65"/>
    <n v="3.4918302775453617E-4"/>
  </r>
  <r>
    <s v="FOLHA-NIVIAMATRIZ"/>
    <x v="2"/>
    <x v="0"/>
    <n v="2025"/>
    <n v="2008"/>
    <x v="138"/>
    <x v="3"/>
    <x v="10"/>
    <n v="820"/>
    <n v="0"/>
    <n v="0"/>
    <n v="0"/>
    <n v="0"/>
    <n v="0"/>
    <n v="0"/>
    <n v="0"/>
    <n v="820"/>
    <n v="54.82"/>
    <n v="2348338.65"/>
    <n v="3.4918302775453617E-4"/>
  </r>
  <r>
    <s v="FOLHA-NIVIAMATRIZ"/>
    <x v="2"/>
    <x v="0"/>
    <n v="2025"/>
    <n v="2009"/>
    <x v="139"/>
    <x v="3"/>
    <x v="10"/>
    <n v="820"/>
    <n v="0"/>
    <n v="0"/>
    <n v="0"/>
    <n v="0"/>
    <n v="80"/>
    <n v="0"/>
    <n v="0"/>
    <n v="900"/>
    <n v="37.270000000000003"/>
    <n v="2348338.65"/>
    <n v="3.8324966460863728E-4"/>
  </r>
  <r>
    <s v="FOLHA-NIVIAMATRIZ"/>
    <x v="2"/>
    <x v="0"/>
    <n v="2025"/>
    <n v="300"/>
    <x v="140"/>
    <x v="4"/>
    <x v="8"/>
    <n v="1955.31"/>
    <n v="1952.88"/>
    <n v="533.13620000000003"/>
    <n v="156.22999999999999"/>
    <n v="252"/>
    <n v="0"/>
    <n v="0"/>
    <n v="0"/>
    <n v="2896.6761999999999"/>
    <n v="14.91"/>
    <n v="2348338.65"/>
    <n v="1.2335002193997872E-3"/>
  </r>
  <r>
    <s v="FOLHA-NIVIAMATRIZ"/>
    <x v="2"/>
    <x v="0"/>
    <n v="2025"/>
    <n v="301"/>
    <x v="141"/>
    <x v="8"/>
    <x v="15"/>
    <n v="891.86"/>
    <n v="889.62"/>
    <n v="242.8663"/>
    <n v="71.16"/>
    <n v="0"/>
    <n v="0"/>
    <n v="0"/>
    <n v="0"/>
    <n v="1205.8862999999999"/>
    <n v="36.03"/>
    <n v="2348338.65"/>
    <n v="5.1350611633462666E-4"/>
  </r>
  <r>
    <s v="FOLHA-NIVIAMATRIZ"/>
    <x v="2"/>
    <x v="0"/>
    <n v="2025"/>
    <n v="302"/>
    <x v="142"/>
    <x v="3"/>
    <x v="6"/>
    <n v="929.3"/>
    <n v="924.09"/>
    <n v="252.2766"/>
    <n v="73.92"/>
    <n v="0"/>
    <n v="0"/>
    <n v="0"/>
    <n v="0"/>
    <n v="1255.4965999999999"/>
    <n v="73.47"/>
    <n v="2348338.65"/>
    <n v="5.3463182152199392E-4"/>
  </r>
  <r>
    <s v="FOLHA-NIVIAMATRIZ"/>
    <x v="2"/>
    <x v="0"/>
    <n v="2025"/>
    <n v="303"/>
    <x v="143"/>
    <x v="1"/>
    <x v="9"/>
    <n v="669.32"/>
    <n v="537.65"/>
    <n v="146.7784"/>
    <n v="43.01"/>
    <n v="0"/>
    <n v="0"/>
    <n v="0"/>
    <n v="0"/>
    <n v="859.10850000000005"/>
    <n v="10.99"/>
    <n v="2348338.65"/>
    <n v="3.6583669480549582E-4"/>
  </r>
  <r>
    <s v="FOLHA-NIVIAMATRIZ"/>
    <x v="2"/>
    <x v="1"/>
    <n v="2025"/>
    <n v="294"/>
    <x v="90"/>
    <x v="4"/>
    <x v="9"/>
    <n v="1975"/>
    <n v="1859.82"/>
    <n v="507.73090000000002"/>
    <n v="148.78"/>
    <n v="336"/>
    <n v="0"/>
    <n v="0"/>
    <n v="0"/>
    <n v="2967.5109000000002"/>
    <n v="0"/>
    <n v="2637808.56"/>
    <n v="1.1249909887319494E-3"/>
  </r>
  <r>
    <s v="FOLHA-NIVIAMATRIZ"/>
    <x v="2"/>
    <x v="1"/>
    <n v="2025"/>
    <n v="92"/>
    <x v="91"/>
    <x v="2"/>
    <x v="14"/>
    <n v="2550.77"/>
    <n v="2550.77"/>
    <n v="696.36019999999996"/>
    <n v="204.06"/>
    <n v="400"/>
    <n v="0"/>
    <n v="0"/>
    <n v="0"/>
    <n v="3851.1902"/>
    <n v="229.47"/>
    <n v="2637808.56"/>
    <n v="1.4599960999444174E-3"/>
  </r>
  <r>
    <s v="FOLHA-NIVIAMATRIZ"/>
    <x v="2"/>
    <x v="1"/>
    <n v="2025"/>
    <n v="269"/>
    <x v="92"/>
    <x v="3"/>
    <x v="13"/>
    <n v="2384.38"/>
    <n v="2357.42"/>
    <n v="643.57569999999998"/>
    <n v="188.59"/>
    <n v="308"/>
    <n v="0"/>
    <n v="0"/>
    <n v="306.8"/>
    <n v="3831.3456999999999"/>
    <n v="146.13999999999999"/>
    <n v="2637808.56"/>
    <n v="1.4524729800710024E-3"/>
  </r>
  <r>
    <s v="FOLHA-NIVIAMATRIZ"/>
    <x v="2"/>
    <x v="1"/>
    <n v="2025"/>
    <n v="292"/>
    <x v="94"/>
    <x v="8"/>
    <x v="15"/>
    <n v="2268.71"/>
    <n v="2264.85"/>
    <n v="618.30409999999995"/>
    <n v="181.18"/>
    <n v="450"/>
    <n v="80"/>
    <n v="0"/>
    <n v="0"/>
    <n v="3598.1941000000002"/>
    <n v="293.70999999999998"/>
    <n v="2637808.56"/>
    <n v="1.3640846058972527E-3"/>
  </r>
  <r>
    <s v="FOLHA-NIVIAMATRIZ"/>
    <x v="2"/>
    <x v="1"/>
    <n v="2025"/>
    <n v="293"/>
    <x v="95"/>
    <x v="7"/>
    <x v="6"/>
    <n v="2131.71"/>
    <n v="2052.98"/>
    <n v="560.46349999999995"/>
    <n v="164.23"/>
    <n v="322"/>
    <n v="0"/>
    <n v="0"/>
    <n v="242"/>
    <n v="3420.4034999999999"/>
    <n v="156.71"/>
    <n v="2637808.56"/>
    <n v="1.2966837669220394E-3"/>
  </r>
  <r>
    <s v="FOLHA-NIVIAMATRIZ"/>
    <x v="2"/>
    <x v="1"/>
    <n v="2025"/>
    <n v="248"/>
    <x v="96"/>
    <x v="8"/>
    <x v="15"/>
    <n v="2097.4499999999998"/>
    <n v="2097.4499999999998"/>
    <n v="572.60379999999998"/>
    <n v="167.79"/>
    <n v="350"/>
    <n v="80"/>
    <n v="0"/>
    <n v="0"/>
    <n v="3267.8438000000001"/>
    <n v="122.45"/>
    <n v="2637808.56"/>
    <n v="1.2388479966112477E-3"/>
  </r>
  <r>
    <s v="FOLHA-NIVIAMATRIZ"/>
    <x v="2"/>
    <x v="1"/>
    <n v="2025"/>
    <n v="234"/>
    <x v="97"/>
    <x v="2"/>
    <x v="2"/>
    <n v="2235.37"/>
    <n v="1969.74"/>
    <n v="537.73900000000003"/>
    <n v="157.57"/>
    <n v="372"/>
    <n v="0"/>
    <n v="0"/>
    <n v="0"/>
    <n v="3302.6790000000001"/>
    <n v="14.37"/>
    <n v="2637808.56"/>
    <n v="1.2520540990283238E-3"/>
  </r>
  <r>
    <s v="FOLHA-NIVIAMATRIZ"/>
    <x v="2"/>
    <x v="1"/>
    <n v="2025"/>
    <n v="305"/>
    <x v="144"/>
    <x v="2"/>
    <x v="2"/>
    <n v="1644.17"/>
    <n v="1644.17"/>
    <n v="448.85840000000002"/>
    <n v="131.53"/>
    <n v="238"/>
    <n v="0"/>
    <n v="0"/>
    <n v="0"/>
    <n v="2462.5583999999999"/>
    <n v="89.47"/>
    <n v="2637808.56"/>
    <n v="9.3356221802540532E-4"/>
  </r>
  <r>
    <s v="FOLHA-NIVIAMATRIZ"/>
    <x v="2"/>
    <x v="1"/>
    <n v="2025"/>
    <n v="308"/>
    <x v="145"/>
    <x v="1"/>
    <x v="9"/>
    <n v="20.82"/>
    <n v="14.36"/>
    <n v="3.9203000000000001"/>
    <n v="1.1399999999999999"/>
    <n v="0"/>
    <n v="0"/>
    <n v="0"/>
    <n v="0"/>
    <n v="25.880299999999998"/>
    <n v="14.36"/>
    <n v="2637808.56"/>
    <n v="9.8112806184843074E-6"/>
  </r>
  <r>
    <s v="FOLHA-NIVIAMATRIZ"/>
    <x v="2"/>
    <x v="1"/>
    <n v="2025"/>
    <n v="273"/>
    <x v="98"/>
    <x v="8"/>
    <x v="15"/>
    <n v="2138.5500000000002"/>
    <n v="2138.5500000000002"/>
    <n v="583.82420000000002"/>
    <n v="171.08"/>
    <n v="350"/>
    <n v="80"/>
    <n v="0"/>
    <n v="0"/>
    <n v="3323.4542000000001"/>
    <n v="163.55000000000001"/>
    <n v="2637808.56"/>
    <n v="1.2599300041698251E-3"/>
  </r>
  <r>
    <s v="FOLHA-NIVIAMATRIZ"/>
    <x v="2"/>
    <x v="1"/>
    <n v="2025"/>
    <n v="76"/>
    <x v="99"/>
    <x v="8"/>
    <x v="16"/>
    <n v="2825.12"/>
    <n v="2825.12"/>
    <n v="771.25779999999997"/>
    <n v="226"/>
    <n v="400"/>
    <n v="80"/>
    <n v="122.84"/>
    <n v="306.8"/>
    <n v="4732.0177999999996"/>
    <n v="503.82"/>
    <n v="2637808.56"/>
    <n v="1.7939200864523692E-3"/>
  </r>
  <r>
    <s v="FOLHA-NIVIAMATRIZ"/>
    <x v="2"/>
    <x v="1"/>
    <n v="2025"/>
    <n v="304"/>
    <x v="146"/>
    <x v="7"/>
    <x v="6"/>
    <n v="2049.6"/>
    <n v="1910.13"/>
    <n v="521.46550000000002"/>
    <n v="152.81"/>
    <n v="592"/>
    <n v="0"/>
    <n v="0"/>
    <n v="0"/>
    <n v="3315.8755000000001"/>
    <n v="206.27"/>
    <n v="2637808.56"/>
    <n v="1.2570569146989196E-3"/>
  </r>
  <r>
    <s v="FOLHA-NIVIAMATRIZ"/>
    <x v="2"/>
    <x v="1"/>
    <n v="2025"/>
    <n v="297"/>
    <x v="100"/>
    <x v="3"/>
    <x v="6"/>
    <n v="1979.28"/>
    <n v="1841.34"/>
    <n v="502.68579999999997"/>
    <n v="147.30000000000001"/>
    <n v="336"/>
    <n v="0"/>
    <n v="0"/>
    <n v="0"/>
    <n v="2965.2658000000001"/>
    <n v="4.28"/>
    <n v="2637808.56"/>
    <n v="1.1241398883018261E-3"/>
  </r>
  <r>
    <s v="FOLHA-NIVIAMATRIZ"/>
    <x v="2"/>
    <x v="1"/>
    <n v="2025"/>
    <n v="296"/>
    <x v="101"/>
    <x v="2"/>
    <x v="2"/>
    <n v="2221"/>
    <n v="2204.1"/>
    <n v="601.71929999999998"/>
    <n v="176.32"/>
    <n v="336"/>
    <n v="0"/>
    <n v="0"/>
    <n v="306.8"/>
    <n v="3641.8393000000001"/>
    <n v="0"/>
    <n v="2637808.56"/>
    <n v="1.380630632269993E-3"/>
  </r>
  <r>
    <s v="FOLHA-NIVIAMATRIZ"/>
    <x v="2"/>
    <x v="1"/>
    <n v="2025"/>
    <n v="284"/>
    <x v="102"/>
    <x v="3"/>
    <x v="6"/>
    <n v="1982.7"/>
    <n v="1979.38"/>
    <n v="540.37070000000006"/>
    <n v="158.35"/>
    <n v="336"/>
    <n v="80"/>
    <n v="0"/>
    <n v="0"/>
    <n v="3097.4207000000001"/>
    <n v="7.7"/>
    <n v="2637808.56"/>
    <n v="1.1742401578983428E-3"/>
  </r>
  <r>
    <s v="FOLHA-NIVIAMATRIZ"/>
    <x v="2"/>
    <x v="1"/>
    <n v="2025"/>
    <n v="236"/>
    <x v="103"/>
    <x v="3"/>
    <x v="6"/>
    <n v="2956.98"/>
    <n v="1687.4"/>
    <n v="460.66019999999997"/>
    <n v="213"/>
    <n v="476"/>
    <n v="0"/>
    <n v="0"/>
    <n v="0"/>
    <n v="4106.6401999999998"/>
    <n v="7.42"/>
    <n v="2637808.56"/>
    <n v="1.5568378472469585E-3"/>
  </r>
  <r>
    <s v="FOLHA-NIVIAMATRIZ"/>
    <x v="2"/>
    <x v="1"/>
    <n v="2025"/>
    <n v="266"/>
    <x v="104"/>
    <x v="2"/>
    <x v="2"/>
    <n v="2228.7399999999998"/>
    <n v="2198.02"/>
    <n v="600.05949999999996"/>
    <n v="175.84"/>
    <n v="408"/>
    <n v="0"/>
    <n v="0"/>
    <n v="0"/>
    <n v="3412.6395000000002"/>
    <n v="7.74"/>
    <n v="2637808.56"/>
    <n v="1.2937403842529041E-3"/>
  </r>
  <r>
    <s v="FOLHA-NIVIAMATRIZ"/>
    <x v="2"/>
    <x v="1"/>
    <n v="2025"/>
    <n v="242"/>
    <x v="106"/>
    <x v="2"/>
    <x v="14"/>
    <n v="2574.3200000000002"/>
    <n v="2530.85"/>
    <n v="690.9221"/>
    <n v="202.46"/>
    <n v="400"/>
    <n v="80"/>
    <n v="0"/>
    <n v="0"/>
    <n v="3947.7021"/>
    <n v="253.02"/>
    <n v="2637808.56"/>
    <n v="1.4965839863678356E-3"/>
  </r>
  <r>
    <s v="FOLHA-NIVIAMATRIZ"/>
    <x v="2"/>
    <x v="1"/>
    <n v="2025"/>
    <n v="78"/>
    <x v="107"/>
    <x v="2"/>
    <x v="2"/>
    <n v="2221"/>
    <n v="2179.9499999999998"/>
    <n v="595.12639999999999"/>
    <n v="174.39"/>
    <n v="364"/>
    <n v="0"/>
    <n v="122.84"/>
    <n v="0"/>
    <n v="3477.3564000000001"/>
    <n v="0"/>
    <n v="2637808.56"/>
    <n v="1.318274723469697E-3"/>
  </r>
  <r>
    <s v="FOLHA-NIVIAMATRIZ"/>
    <x v="2"/>
    <x v="1"/>
    <n v="2025"/>
    <n v="286"/>
    <x v="108"/>
    <x v="1"/>
    <x v="9"/>
    <n v="2040.93"/>
    <n v="2011.48"/>
    <n v="549.13400000000001"/>
    <n v="160.91"/>
    <n v="336"/>
    <n v="80"/>
    <n v="0"/>
    <n v="0"/>
    <n v="3166.9740000000002"/>
    <n v="65.930000000000007"/>
    <n v="2637808.56"/>
    <n v="1.2006079925678912E-3"/>
  </r>
  <r>
    <s v="FOLHA-NIVIAMATRIZ"/>
    <x v="2"/>
    <x v="1"/>
    <n v="2025"/>
    <n v="262"/>
    <x v="109"/>
    <x v="2"/>
    <x v="14"/>
    <n v="2586.6"/>
    <n v="2553.15"/>
    <n v="697.01"/>
    <n v="204.25"/>
    <n v="400"/>
    <n v="80"/>
    <n v="0"/>
    <n v="0"/>
    <n v="3967.86"/>
    <n v="265.3"/>
    <n v="2637808.56"/>
    <n v="1.5042258980310537E-3"/>
  </r>
  <r>
    <s v="FOLHA-NIVIAMATRIZ"/>
    <x v="2"/>
    <x v="1"/>
    <n v="2025"/>
    <n v="252"/>
    <x v="110"/>
    <x v="2"/>
    <x v="2"/>
    <n v="2367.12"/>
    <n v="2329.7399999999998"/>
    <n v="636.01900000000001"/>
    <n v="186.37"/>
    <n v="386"/>
    <n v="80"/>
    <n v="122.84"/>
    <n v="0"/>
    <n v="3778.3490000000002"/>
    <n v="146.12"/>
    <n v="2637808.56"/>
    <n v="1.4323818177313062E-3"/>
  </r>
  <r>
    <s v="FOLHA-NIVIAMATRIZ"/>
    <x v="2"/>
    <x v="1"/>
    <n v="2025"/>
    <n v="274"/>
    <x v="111"/>
    <x v="3"/>
    <x v="6"/>
    <n v="2015.59"/>
    <n v="1984.44"/>
    <n v="541.75210000000004"/>
    <n v="158.75"/>
    <n v="350"/>
    <n v="0"/>
    <n v="0"/>
    <n v="0"/>
    <n v="3066.0920999999998"/>
    <n v="40.590000000000003"/>
    <n v="2637808.56"/>
    <n v="1.1623633975924321E-3"/>
  </r>
  <r>
    <s v="FOLHA-NIVIAMATRIZ"/>
    <x v="2"/>
    <x v="1"/>
    <n v="2025"/>
    <n v="183"/>
    <x v="112"/>
    <x v="8"/>
    <x v="15"/>
    <n v="2169.89"/>
    <n v="2169.89"/>
    <n v="592.38"/>
    <n v="173.59"/>
    <n v="350"/>
    <n v="80"/>
    <n v="0"/>
    <n v="0"/>
    <n v="3365.86"/>
    <n v="194.89"/>
    <n v="2637808.56"/>
    <n v="1.2760061594462337E-3"/>
  </r>
  <r>
    <s v="FOLHA-NIVIAMATRIZ"/>
    <x v="2"/>
    <x v="1"/>
    <n v="2025"/>
    <n v="257"/>
    <x v="113"/>
    <x v="2"/>
    <x v="2"/>
    <n v="2221"/>
    <n v="2040.41"/>
    <n v="557.03189999999995"/>
    <n v="163.22999999999999"/>
    <n v="336"/>
    <n v="0"/>
    <n v="0"/>
    <n v="0"/>
    <n v="3277.2619"/>
    <n v="0"/>
    <n v="2637808.56"/>
    <n v="1.242418414928489E-3"/>
  </r>
  <r>
    <s v="FOLHA-NIVIAMATRIZ"/>
    <x v="2"/>
    <x v="1"/>
    <n v="2025"/>
    <n v="241"/>
    <x v="114"/>
    <x v="2"/>
    <x v="2"/>
    <n v="2221"/>
    <n v="1925.08"/>
    <n v="525.54679999999996"/>
    <n v="154"/>
    <n v="436"/>
    <n v="0"/>
    <n v="0"/>
    <n v="0"/>
    <n v="3336.5468000000001"/>
    <n v="0"/>
    <n v="2637808.56"/>
    <n v="1.264893476575874E-3"/>
  </r>
  <r>
    <s v="FOLHA-NIVIAMATRIZ"/>
    <x v="2"/>
    <x v="1"/>
    <n v="2025"/>
    <n v="128"/>
    <x v="115"/>
    <x v="3"/>
    <x v="4"/>
    <n v="3047.75"/>
    <n v="3047.75"/>
    <n v="832.03579999999999"/>
    <n v="243.82"/>
    <n v="500"/>
    <n v="80"/>
    <n v="0"/>
    <n v="0"/>
    <n v="4703.6057000000001"/>
    <n v="389.15"/>
    <n v="2637808.56"/>
    <n v="1.7831490204884314E-3"/>
  </r>
  <r>
    <s v="FOLHA-NIVIAMATRIZ"/>
    <x v="2"/>
    <x v="1"/>
    <n v="2025"/>
    <n v="306"/>
    <x v="147"/>
    <x v="2"/>
    <x v="2"/>
    <n v="1515.29"/>
    <n v="1515.29"/>
    <n v="413.67419999999998"/>
    <n v="121.22"/>
    <n v="224"/>
    <n v="0"/>
    <n v="0"/>
    <n v="0"/>
    <n v="2274.1842000000001"/>
    <n v="34.619999999999997"/>
    <n v="2637808.56"/>
    <n v="8.6214905982411397E-4"/>
  </r>
  <r>
    <s v="FOLHA-NIVIAMATRIZ"/>
    <x v="2"/>
    <x v="1"/>
    <n v="2025"/>
    <n v="261"/>
    <x v="117"/>
    <x v="2"/>
    <x v="2"/>
    <n v="2235.7399999999998"/>
    <n v="2222.41"/>
    <n v="606.71789999999999"/>
    <n v="177.79"/>
    <n v="522"/>
    <n v="0"/>
    <n v="0"/>
    <n v="0"/>
    <n v="3542.2478999999998"/>
    <n v="14.74"/>
    <n v="2637808.56"/>
    <n v="1.3428752881141609E-3"/>
  </r>
  <r>
    <s v="FOLHA-NIVIAMATRIZ"/>
    <x v="2"/>
    <x v="1"/>
    <n v="2025"/>
    <n v="175"/>
    <x v="118"/>
    <x v="4"/>
    <x v="7"/>
    <n v="2243.4899999999998"/>
    <n v="2121.4"/>
    <n v="579.1422"/>
    <n v="169.71"/>
    <n v="336"/>
    <n v="0"/>
    <n v="0"/>
    <n v="0"/>
    <n v="3328.3422"/>
    <n v="5.25"/>
    <n v="2637808.56"/>
    <n v="1.2617830764792119E-3"/>
  </r>
  <r>
    <s v="FOLHA-NIVIAMATRIZ"/>
    <x v="2"/>
    <x v="1"/>
    <n v="2025"/>
    <n v="124"/>
    <x v="119"/>
    <x v="3"/>
    <x v="4"/>
    <n v="3081.17"/>
    <n v="3081.17"/>
    <n v="841.15940000000001"/>
    <n v="246.49"/>
    <n v="600"/>
    <n v="0"/>
    <n v="0"/>
    <n v="0"/>
    <n v="4768.8194000000003"/>
    <n v="422.57"/>
    <n v="2637808.56"/>
    <n v="1.80787168648812E-3"/>
  </r>
  <r>
    <s v="FOLHA-NIVIAMATRIZ"/>
    <x v="2"/>
    <x v="1"/>
    <n v="2025"/>
    <n v="206"/>
    <x v="120"/>
    <x v="3"/>
    <x v="13"/>
    <n v="2253.38"/>
    <n v="2251.35"/>
    <n v="614.61860000000001"/>
    <n v="180.1"/>
    <n v="350"/>
    <n v="80"/>
    <n v="0"/>
    <n v="0"/>
    <n v="3478.0985999999998"/>
    <n v="15.14"/>
    <n v="2637808.56"/>
    <n v="1.3185560933959514E-3"/>
  </r>
  <r>
    <s v="FOLHA-NIVIAMATRIZ"/>
    <x v="2"/>
    <x v="1"/>
    <n v="2025"/>
    <n v="239"/>
    <x v="121"/>
    <x v="1"/>
    <x v="9"/>
    <n v="1975"/>
    <n v="1864.31"/>
    <n v="508.95659999999998"/>
    <n v="149.13999999999999"/>
    <n v="336"/>
    <n v="0"/>
    <n v="0"/>
    <n v="0"/>
    <n v="2969.0965999999999"/>
    <n v="0"/>
    <n v="2637808.56"/>
    <n v="1.1255921582118153E-3"/>
  </r>
  <r>
    <s v="FOLHA-NIVIAMATRIZ"/>
    <x v="2"/>
    <x v="1"/>
    <n v="2025"/>
    <n v="51"/>
    <x v="122"/>
    <x v="6"/>
    <x v="11"/>
    <n v="8157.41"/>
    <n v="8157.41"/>
    <n v="1631.482"/>
    <n v="0"/>
    <n v="0"/>
    <n v="0"/>
    <n v="0"/>
    <n v="0"/>
    <n v="9788.8919999999998"/>
    <n v="0"/>
    <n v="2637808.56"/>
    <n v="3.7109940988287642E-3"/>
  </r>
  <r>
    <s v="FOLHA-NIVIAMATRIZ"/>
    <x v="2"/>
    <x v="1"/>
    <n v="2025"/>
    <n v="176"/>
    <x v="123"/>
    <x v="2"/>
    <x v="14"/>
    <n v="2736.35"/>
    <n v="2736.35"/>
    <n v="747.02359999999999"/>
    <n v="218.9"/>
    <n v="400"/>
    <n v="80"/>
    <n v="0"/>
    <n v="0"/>
    <n v="4182.2735000000002"/>
    <n v="415.05"/>
    <n v="2637808.56"/>
    <n v="1.5855106444874073E-3"/>
  </r>
  <r>
    <s v="FOLHA-NIVIAMATRIZ"/>
    <x v="2"/>
    <x v="1"/>
    <n v="2025"/>
    <n v="130"/>
    <x v="124"/>
    <x v="7"/>
    <x v="3"/>
    <n v="2084.16"/>
    <n v="2039.76"/>
    <n v="556.85450000000003"/>
    <n v="163.18"/>
    <n v="308"/>
    <n v="0"/>
    <n v="0"/>
    <n v="0"/>
    <n v="3112.1945000000001"/>
    <n v="5.95"/>
    <n v="2637808.56"/>
    <n v="1.179840920676973E-3"/>
  </r>
  <r>
    <s v="FOLHA-NIVIAMATRIZ"/>
    <x v="2"/>
    <x v="1"/>
    <n v="2025"/>
    <n v="277"/>
    <x v="125"/>
    <x v="3"/>
    <x v="3"/>
    <n v="2178.77"/>
    <n v="2178.77"/>
    <n v="594.80420000000004"/>
    <n v="174.3"/>
    <n v="336"/>
    <n v="0"/>
    <n v="0"/>
    <n v="0"/>
    <n v="3283.8742000000002"/>
    <n v="100.56"/>
    <n v="2637808.56"/>
    <n v="1.2449251472593599E-3"/>
  </r>
  <r>
    <s v="FOLHA-NIVIAMATRIZ"/>
    <x v="2"/>
    <x v="1"/>
    <n v="2025"/>
    <n v="79"/>
    <x v="127"/>
    <x v="3"/>
    <x v="6"/>
    <n v="2136.9299999999998"/>
    <n v="2085.4899999999998"/>
    <n v="569.33879999999999"/>
    <n v="166.83"/>
    <n v="336"/>
    <n v="0"/>
    <n v="0"/>
    <n v="0"/>
    <n v="3209.0988000000002"/>
    <n v="65.930000000000007"/>
    <n v="2637808.56"/>
    <n v="1.2165775859033529E-3"/>
  </r>
  <r>
    <s v="FOLHA-NIVIAMATRIZ"/>
    <x v="2"/>
    <x v="1"/>
    <n v="2025"/>
    <n v="298"/>
    <x v="128"/>
    <x v="7"/>
    <x v="6"/>
    <n v="2175.71"/>
    <n v="2175.71"/>
    <n v="593.96879999999999"/>
    <n v="174.05"/>
    <n v="322"/>
    <n v="0"/>
    <n v="0"/>
    <n v="0"/>
    <n v="3265.7287999999999"/>
    <n v="200.71"/>
    <n v="2637808.56"/>
    <n v="1.2380461870970653E-3"/>
  </r>
  <r>
    <s v="FOLHA-NIVIAMATRIZ"/>
    <x v="2"/>
    <x v="1"/>
    <n v="2025"/>
    <n v="94"/>
    <x v="129"/>
    <x v="4"/>
    <x v="8"/>
    <n v="2430.7600000000002"/>
    <n v="2343.88"/>
    <n v="639.87919999999997"/>
    <n v="187.51"/>
    <n v="336"/>
    <n v="0"/>
    <n v="0"/>
    <n v="0"/>
    <n v="3594.1491999999998"/>
    <n v="5.26"/>
    <n v="2637808.56"/>
    <n v="1.3625512080376297E-3"/>
  </r>
  <r>
    <s v="FOLHA-NIVIAMATRIZ"/>
    <x v="2"/>
    <x v="1"/>
    <n v="2025"/>
    <n v="55"/>
    <x v="130"/>
    <x v="1"/>
    <x v="4"/>
    <n v="3494.62"/>
    <n v="3494.62"/>
    <n v="954.03129999999999"/>
    <n v="279.56"/>
    <n v="210"/>
    <n v="80"/>
    <n v="0"/>
    <n v="0"/>
    <n v="5018.2112999999999"/>
    <n v="0"/>
    <n v="2637808.56"/>
    <n v="1.9024167773570343E-3"/>
  </r>
  <r>
    <s v="FOLHA-NIVIAMATRIZ"/>
    <x v="2"/>
    <x v="1"/>
    <n v="2025"/>
    <n v="246"/>
    <x v="131"/>
    <x v="2"/>
    <x v="2"/>
    <n v="2370.81"/>
    <n v="2362.6"/>
    <n v="644.98979999999995"/>
    <n v="189"/>
    <n v="336"/>
    <n v="0"/>
    <n v="122.84"/>
    <n v="0"/>
    <n v="3663.6397999999999"/>
    <n v="149.81"/>
    <n v="2637808.56"/>
    <n v="1.3888952578120376E-3"/>
  </r>
  <r>
    <s v="FOLHA-NIVIAMATRIZ"/>
    <x v="2"/>
    <x v="1"/>
    <n v="2025"/>
    <n v="281"/>
    <x v="132"/>
    <x v="3"/>
    <x v="13"/>
    <n v="2262.11"/>
    <n v="2112.89"/>
    <n v="576.81899999999996"/>
    <n v="169.03"/>
    <n v="322"/>
    <n v="0"/>
    <n v="0"/>
    <n v="0"/>
    <n v="3329.9589999999998"/>
    <n v="23.87"/>
    <n v="2637808.56"/>
    <n v="1.2623959981386977E-3"/>
  </r>
  <r>
    <s v="FOLHA-NIVIAMATRIZ"/>
    <x v="2"/>
    <x v="1"/>
    <n v="2025"/>
    <n v="307"/>
    <x v="148"/>
    <x v="3"/>
    <x v="6"/>
    <n v="1355.22"/>
    <n v="1355.22"/>
    <n v="369.9751"/>
    <n v="108.41"/>
    <n v="224"/>
    <n v="0"/>
    <n v="0"/>
    <n v="0"/>
    <n v="2057.6051000000002"/>
    <n v="38.549999999999997"/>
    <n v="2637808.56"/>
    <n v="7.800433629648999E-4"/>
  </r>
  <r>
    <s v="FOLHA-NIVIAMATRIZ"/>
    <x v="2"/>
    <x v="1"/>
    <n v="2025"/>
    <n v="44"/>
    <x v="133"/>
    <x v="1"/>
    <x v="7"/>
    <n v="2338.58"/>
    <n v="2244.6799999999998"/>
    <n v="612.79759999999999"/>
    <n v="179.57"/>
    <n v="322"/>
    <n v="0"/>
    <n v="0"/>
    <n v="0"/>
    <n v="3452.9476"/>
    <n v="100.34"/>
    <n v="2637808.56"/>
    <n v="1.3090213188177689E-3"/>
  </r>
  <r>
    <s v="FOLHA-NIVIAMATRIZ"/>
    <x v="2"/>
    <x v="1"/>
    <n v="2025"/>
    <n v="196"/>
    <x v="134"/>
    <x v="1"/>
    <x v="7"/>
    <n v="2360.5100000000002"/>
    <n v="2360.5100000000002"/>
    <n v="644.41920000000005"/>
    <n v="188.84"/>
    <n v="464"/>
    <n v="80"/>
    <n v="122.84"/>
    <n v="306.8"/>
    <n v="4167.4092000000001"/>
    <n v="122.27"/>
    <n v="2637808.56"/>
    <n v="1.579875542598133E-3"/>
  </r>
  <r>
    <s v="FOLHA-NIVIAMATRIZ"/>
    <x v="2"/>
    <x v="1"/>
    <n v="2025"/>
    <n v="299"/>
    <x v="135"/>
    <x v="2"/>
    <x v="2"/>
    <n v="2256.38"/>
    <n v="2175.12"/>
    <n v="593.80780000000004"/>
    <n v="174"/>
    <n v="422"/>
    <n v="0"/>
    <n v="0"/>
    <n v="206.8"/>
    <n v="3652.9877999999999"/>
    <n v="35.380000000000003"/>
    <n v="2637808.56"/>
    <n v="1.3848570420895139E-3"/>
  </r>
  <r>
    <s v="FOLHA-NIVIAMATRIZ"/>
    <x v="2"/>
    <x v="1"/>
    <n v="2025"/>
    <n v="148"/>
    <x v="136"/>
    <x v="8"/>
    <x v="17"/>
    <n v="2125.69"/>
    <n v="0"/>
    <n v="0"/>
    <n v="170.05"/>
    <n v="0"/>
    <n v="0"/>
    <n v="0"/>
    <n v="0"/>
    <n v="2295.7399999999998"/>
    <n v="0"/>
    <n v="2637808.56"/>
    <n v="8.703209303407523E-4"/>
  </r>
  <r>
    <s v="FOLHA-NIVIAMATRIZ"/>
    <x v="2"/>
    <x v="1"/>
    <n v="2025"/>
    <n v="2007"/>
    <x v="137"/>
    <x v="3"/>
    <x v="10"/>
    <n v="842.61"/>
    <n v="0"/>
    <n v="0"/>
    <n v="0"/>
    <n v="0"/>
    <n v="0"/>
    <n v="0"/>
    <n v="0"/>
    <n v="842.61"/>
    <n v="0"/>
    <n v="2637808.56"/>
    <n v="3.1943561514562679E-4"/>
  </r>
  <r>
    <s v="FOLHA-NIVIAMATRIZ"/>
    <x v="2"/>
    <x v="1"/>
    <n v="2025"/>
    <n v="2008"/>
    <x v="138"/>
    <x v="3"/>
    <x v="10"/>
    <n v="878.35"/>
    <n v="0"/>
    <n v="0"/>
    <n v="0"/>
    <n v="0"/>
    <n v="0"/>
    <n v="0"/>
    <n v="0"/>
    <n v="878.35"/>
    <n v="0"/>
    <n v="2637808.56"/>
    <n v="3.3298474093965331E-4"/>
  </r>
  <r>
    <s v="FOLHA-NIVIAMATRIZ"/>
    <x v="2"/>
    <x v="1"/>
    <n v="2025"/>
    <n v="2009"/>
    <x v="139"/>
    <x v="3"/>
    <x v="10"/>
    <n v="859.9"/>
    <n v="0"/>
    <n v="0"/>
    <n v="0"/>
    <n v="0"/>
    <n v="0"/>
    <n v="0"/>
    <n v="306.8"/>
    <n v="1166.7"/>
    <n v="0"/>
    <n v="2637808.56"/>
    <n v="4.4229896653303762E-4"/>
  </r>
  <r>
    <s v="FOLHA-NIVIAMATRIZ"/>
    <x v="2"/>
    <x v="1"/>
    <n v="2025"/>
    <n v="300"/>
    <x v="140"/>
    <x v="4"/>
    <x v="8"/>
    <n v="2441.91"/>
    <n v="2374.44"/>
    <n v="648.22209999999995"/>
    <n v="189.95"/>
    <n v="422"/>
    <n v="80"/>
    <n v="0"/>
    <n v="0"/>
    <n v="3782.0821000000001"/>
    <n v="16.41"/>
    <n v="2637808.56"/>
    <n v="1.4337970455293389E-3"/>
  </r>
  <r>
    <s v="FOLHA-NIVIAMATRIZ"/>
    <x v="2"/>
    <x v="1"/>
    <n v="2025"/>
    <n v="301"/>
    <x v="141"/>
    <x v="8"/>
    <x v="15"/>
    <n v="1115.8699999999999"/>
    <n v="131.66999999999999"/>
    <n v="35.945900000000002"/>
    <n v="10.53"/>
    <n v="572"/>
    <n v="0"/>
    <n v="0"/>
    <n v="0"/>
    <n v="1734.3459"/>
    <n v="0"/>
    <n v="2637808.56"/>
    <n v="6.5749498894643061E-4"/>
  </r>
  <r>
    <s v="FOLHA-NIVIAMATRIZ"/>
    <x v="2"/>
    <x v="1"/>
    <n v="2025"/>
    <n v="302"/>
    <x v="142"/>
    <x v="3"/>
    <x v="6"/>
    <n v="2074.84"/>
    <n v="2073.04"/>
    <n v="565.93989999999997"/>
    <n v="165.84"/>
    <n v="448"/>
    <n v="80"/>
    <n v="0"/>
    <n v="0"/>
    <n v="3334.6199000000001"/>
    <n v="99.84"/>
    <n v="2637808.56"/>
    <n v="1.2641629762548043E-3"/>
  </r>
  <r>
    <s v="FOLHA-NIVIAMATRIZ"/>
    <x v="2"/>
    <x v="1"/>
    <n v="2025"/>
    <n v="303"/>
    <x v="143"/>
    <x v="4"/>
    <x v="9"/>
    <n v="1558.82"/>
    <n v="332.06"/>
    <n v="90.6524"/>
    <n v="26.56"/>
    <n v="322"/>
    <n v="0"/>
    <n v="0"/>
    <n v="0"/>
    <n v="1998.0324000000001"/>
    <n v="2.9"/>
    <n v="2637808.56"/>
    <n v="7.5745920697141108E-4"/>
  </r>
  <r>
    <s v="FOLHA-NIVIAMATRIZ"/>
    <x v="2"/>
    <x v="2"/>
    <n v="2025"/>
    <n v="310"/>
    <x v="149"/>
    <x v="8"/>
    <x v="15"/>
    <n v="1834.38"/>
    <n v="1781.14"/>
    <n v="486.25119999999998"/>
    <n v="142.49"/>
    <n v="378"/>
    <m/>
    <m/>
    <m/>
    <n v="2841.1212"/>
    <n v="56.88"/>
    <n v="2559361.83"/>
    <n v="1.1100897054481739E-3"/>
  </r>
  <r>
    <s v="FOLHA-NIVIAMATRIZ"/>
    <x v="2"/>
    <x v="2"/>
    <n v="2025"/>
    <n v="294"/>
    <x v="90"/>
    <x v="4"/>
    <x v="9"/>
    <n v="2109.21"/>
    <n v="2019.44"/>
    <n v="551.30709999999999"/>
    <n v="161.55000000000001"/>
    <n v="336"/>
    <m/>
    <m/>
    <n v="306.8"/>
    <n v="3464.8670999999999"/>
    <n v="134.21"/>
    <n v="2559361.83"/>
    <n v="1.353801201293996E-3"/>
  </r>
  <r>
    <s v="FOLHA-NIVIAMATRIZ"/>
    <x v="2"/>
    <x v="2"/>
    <n v="2025"/>
    <n v="92"/>
    <x v="91"/>
    <x v="2"/>
    <x v="14"/>
    <n v="2903.31"/>
    <n v="2903.31"/>
    <n v="792.60360000000003"/>
    <n v="232.26"/>
    <n v="594"/>
    <m/>
    <m/>
    <m/>
    <n v="4522.1736000000001"/>
    <n v="582.01"/>
    <n v="2559361.83"/>
    <n v="1.766914539785881E-3"/>
  </r>
  <r>
    <s v="FOLHA-NIVIAMATRIZ"/>
    <x v="2"/>
    <x v="2"/>
    <n v="2025"/>
    <n v="269"/>
    <x v="92"/>
    <x v="3"/>
    <x v="13"/>
    <n v="2833.92"/>
    <n v="2828.63"/>
    <n v="772.21600000000001"/>
    <n v="226.29"/>
    <n v="322"/>
    <m/>
    <m/>
    <n v="274.8"/>
    <n v="4429.2259999999997"/>
    <n v="595.67999999999995"/>
    <n v="2559361.83"/>
    <n v="1.7305978146903908E-3"/>
  </r>
  <r>
    <s v="FOLHA-NIVIAMATRIZ"/>
    <x v="2"/>
    <x v="2"/>
    <n v="2025"/>
    <n v="292"/>
    <x v="94"/>
    <x v="8"/>
    <x v="15"/>
    <n v="2172.86"/>
    <n v="2167.65"/>
    <n v="591.76850000000002"/>
    <n v="173.41"/>
    <n v="336"/>
    <m/>
    <m/>
    <m/>
    <n v="3274.0383999999999"/>
    <n v="197.86"/>
    <n v="2559361.83"/>
    <n v="1.279240165115692E-3"/>
  </r>
  <r>
    <s v="FOLHA-NIVIAMATRIZ"/>
    <x v="2"/>
    <x v="2"/>
    <n v="2025"/>
    <n v="293"/>
    <x v="95"/>
    <x v="7"/>
    <x v="6"/>
    <n v="2342.08"/>
    <n v="2342.08"/>
    <n v="639.38779999999997"/>
    <n v="187.36"/>
    <n v="436"/>
    <m/>
    <m/>
    <n v="306.8"/>
    <n v="3911.6278000000002"/>
    <n v="367.08"/>
    <n v="2559361.83"/>
    <n v="1.5283606226166153E-3"/>
  </r>
  <r>
    <s v="FOLHA-NIVIAMATRIZ"/>
    <x v="2"/>
    <x v="2"/>
    <n v="2025"/>
    <n v="248"/>
    <x v="96"/>
    <x v="8"/>
    <x v="15"/>
    <n v="2032.45"/>
    <n v="2032.45"/>
    <n v="554.85889999999995"/>
    <n v="162.59"/>
    <n v="336"/>
    <m/>
    <m/>
    <m/>
    <n v="3085.8989000000001"/>
    <n v="57.45"/>
    <n v="2559361.83"/>
    <n v="1.2057298088250384E-3"/>
  </r>
  <r>
    <s v="FOLHA-NIVIAMATRIZ"/>
    <x v="2"/>
    <x v="2"/>
    <n v="2025"/>
    <n v="234"/>
    <x v="97"/>
    <x v="2"/>
    <x v="2"/>
    <n v="2380.86"/>
    <n v="1943.14"/>
    <n v="530.47720000000004"/>
    <n v="155.44999999999999"/>
    <n v="236"/>
    <m/>
    <m/>
    <m/>
    <n v="3302.7872000000002"/>
    <n v="159.86000000000001"/>
    <n v="2559361.83"/>
    <n v="1.2904729535643657E-3"/>
  </r>
  <r>
    <s v="FOLHA-NIVIAMATRIZ"/>
    <x v="2"/>
    <x v="2"/>
    <n v="2025"/>
    <n v="305"/>
    <x v="144"/>
    <x v="2"/>
    <x v="2"/>
    <n v="2463.5500000000002"/>
    <n v="2463.5500000000002"/>
    <n v="672.54920000000004"/>
    <n v="197.08"/>
    <n v="743"/>
    <n v="80"/>
    <m/>
    <m/>
    <n v="4156.1791000000003"/>
    <n v="242.55"/>
    <n v="2559361.83"/>
    <n v="1.6239122976996184E-3"/>
  </r>
  <r>
    <s v="FOLHA-NIVIAMATRIZ"/>
    <x v="2"/>
    <x v="2"/>
    <n v="2025"/>
    <n v="308"/>
    <x v="145"/>
    <x v="1"/>
    <x v="9"/>
    <n v="2366.9499999999998"/>
    <n v="2345.14"/>
    <n v="640.22320000000002"/>
    <n v="187.61"/>
    <n v="336"/>
    <m/>
    <m/>
    <m/>
    <n v="3530.7831999999999"/>
    <n v="391.95"/>
    <n v="2559361.83"/>
    <n v="1.3795560981699881E-3"/>
  </r>
  <r>
    <s v="FOLHA-NIVIAMATRIZ"/>
    <x v="2"/>
    <x v="2"/>
    <n v="2025"/>
    <n v="273"/>
    <x v="98"/>
    <x v="8"/>
    <x v="15"/>
    <n v="2111.81"/>
    <n v="2111.81"/>
    <n v="576.52409999999998"/>
    <n v="168.94"/>
    <n v="336"/>
    <n v="80"/>
    <m/>
    <m/>
    <n v="3273.2741000000001"/>
    <n v="136.81"/>
    <n v="2559361.83"/>
    <n v="1.2789415281699342E-3"/>
  </r>
  <r>
    <s v="FOLHA-NIVIAMATRIZ"/>
    <x v="2"/>
    <x v="2"/>
    <n v="2025"/>
    <n v="76"/>
    <x v="99"/>
    <x v="8"/>
    <x v="16"/>
    <n v="2731.33"/>
    <n v="2731.33"/>
    <n v="745.65309999999999"/>
    <n v="218.5"/>
    <n v="372"/>
    <m/>
    <n v="122.84"/>
    <n v="306.8"/>
    <n v="4497.1230999999998"/>
    <n v="410.03"/>
    <n v="2559361.83"/>
    <n v="1.757126732643348E-3"/>
  </r>
  <r>
    <s v="FOLHA-NIVIAMATRIZ"/>
    <x v="2"/>
    <x v="2"/>
    <n v="2025"/>
    <n v="304"/>
    <x v="146"/>
    <x v="7"/>
    <x v="6"/>
    <n v="2189.65"/>
    <n v="2171.4299999999998"/>
    <n v="592.80039999999997"/>
    <n v="173.71"/>
    <n v="629"/>
    <m/>
    <m/>
    <n v="306.8"/>
    <n v="3891.9603999999999"/>
    <n v="214.65"/>
    <n v="2559361.83"/>
    <n v="1.5206761093252688E-3"/>
  </r>
  <r>
    <s v="FOLHA-NIVIAMATRIZ"/>
    <x v="2"/>
    <x v="2"/>
    <n v="2025"/>
    <n v="297"/>
    <x v="100"/>
    <x v="3"/>
    <x v="6"/>
    <n v="1989.73"/>
    <n v="1607.32"/>
    <n v="438.79840000000002"/>
    <n v="128.58000000000001"/>
    <n v="238"/>
    <m/>
    <m/>
    <m/>
    <n v="2795.1084000000001"/>
    <n v="14.73"/>
    <n v="2559361.83"/>
    <n v="1.0921114502985302E-3"/>
  </r>
  <r>
    <s v="FOLHA-NIVIAMATRIZ"/>
    <x v="2"/>
    <x v="2"/>
    <n v="2025"/>
    <n v="296"/>
    <x v="101"/>
    <x v="2"/>
    <x v="2"/>
    <n v="2500.96"/>
    <n v="2458.65"/>
    <n v="671.2115"/>
    <n v="196.69"/>
    <n v="338"/>
    <n v="80"/>
    <m/>
    <n v="306.8"/>
    <n v="4093.6615000000002"/>
    <n v="279.95999999999998"/>
    <n v="2559361.83"/>
    <n v="1.5994852318321868E-3"/>
  </r>
  <r>
    <s v="FOLHA-NIVIAMATRIZ"/>
    <x v="2"/>
    <x v="2"/>
    <n v="2025"/>
    <n v="284"/>
    <x v="102"/>
    <x v="3"/>
    <x v="6"/>
    <n v="2272.69"/>
    <n v="2265.69"/>
    <n v="618.53340000000003"/>
    <n v="181.25"/>
    <n v="336"/>
    <n v="80"/>
    <m/>
    <m/>
    <n v="3488.4733999999999"/>
    <n v="297.69"/>
    <n v="2559361.83"/>
    <n v="1.3630246919795628E-3"/>
  </r>
  <r>
    <s v="FOLHA-NIVIAMATRIZ"/>
    <x v="2"/>
    <x v="2"/>
    <n v="2025"/>
    <n v="266"/>
    <x v="104"/>
    <x v="2"/>
    <x v="2"/>
    <n v="2224.48"/>
    <n v="2165.56"/>
    <n v="591.1979"/>
    <n v="173.24"/>
    <n v="349"/>
    <m/>
    <n v="122.84"/>
    <m/>
    <n v="3460.7579000000001"/>
    <n v="3.48"/>
    <n v="2559361.83"/>
    <n v="1.3521956291736993E-3"/>
  </r>
  <r>
    <s v="FOLHA-NIVIAMATRIZ"/>
    <x v="2"/>
    <x v="2"/>
    <n v="2025"/>
    <n v="242"/>
    <x v="106"/>
    <x v="2"/>
    <x v="14"/>
    <n v="2454.6799999999998"/>
    <n v="2454.6799999999998"/>
    <n v="670.12760000000003"/>
    <n v="196.37"/>
    <n v="600"/>
    <n v="80"/>
    <m/>
    <m/>
    <n v="4001.1776"/>
    <n v="133.38"/>
    <n v="2559361.83"/>
    <n v="1.5633497355080894E-3"/>
  </r>
  <r>
    <s v="FOLHA-NIVIAMATRIZ"/>
    <x v="2"/>
    <x v="2"/>
    <n v="2025"/>
    <n v="78"/>
    <x v="107"/>
    <x v="2"/>
    <x v="2"/>
    <n v="2392.94"/>
    <n v="2367.63"/>
    <n v="646.36300000000006"/>
    <n v="189.41"/>
    <n v="309"/>
    <m/>
    <n v="122.84"/>
    <m/>
    <n v="3660.5529999999999"/>
    <n v="171.94"/>
    <n v="2559361.83"/>
    <n v="1.4302600543198692E-3"/>
  </r>
  <r>
    <s v="FOLHA-NIVIAMATRIZ"/>
    <x v="2"/>
    <x v="2"/>
    <n v="2025"/>
    <n v="286"/>
    <x v="108"/>
    <x v="1"/>
    <x v="9"/>
    <n v="2271.79"/>
    <n v="2205.9899999999998"/>
    <n v="602.23530000000005"/>
    <n v="176.47"/>
    <n v="224"/>
    <m/>
    <m/>
    <m/>
    <n v="3274.4953"/>
    <n v="296.79000000000002"/>
    <n v="2559361.83"/>
    <n v="1.2794186549230516E-3"/>
  </r>
  <r>
    <s v="FOLHA-NIVIAMATRIZ"/>
    <x v="2"/>
    <x v="2"/>
    <n v="2025"/>
    <n v="262"/>
    <x v="109"/>
    <x v="2"/>
    <x v="14"/>
    <n v="2890.19"/>
    <n v="2849.25"/>
    <n v="777.84529999999995"/>
    <n v="227.94"/>
    <n v="600"/>
    <n v="80"/>
    <m/>
    <m/>
    <n v="4575.9753000000001"/>
    <n v="568.89"/>
    <n v="2559361.83"/>
    <n v="1.7879360379458344E-3"/>
  </r>
  <r>
    <s v="FOLHA-NIVIAMATRIZ"/>
    <x v="2"/>
    <x v="2"/>
    <n v="2025"/>
    <n v="252"/>
    <x v="110"/>
    <x v="2"/>
    <x v="2"/>
    <n v="2598.09"/>
    <n v="2598.09"/>
    <n v="709.27859999999998"/>
    <n v="207.84"/>
    <n v="349"/>
    <n v="80"/>
    <n v="122.84"/>
    <m/>
    <n v="4067.0486000000001"/>
    <n v="377.09"/>
    <n v="2559361.83"/>
    <n v="1.5890869834532149E-3"/>
  </r>
  <r>
    <s v="FOLHA-NIVIAMATRIZ"/>
    <x v="2"/>
    <x v="2"/>
    <n v="2025"/>
    <n v="274"/>
    <x v="111"/>
    <x v="3"/>
    <x v="6"/>
    <n v="2294.5"/>
    <n v="515.38"/>
    <n v="140.6987"/>
    <n v="41.23"/>
    <n v="224"/>
    <m/>
    <m/>
    <m/>
    <n v="2700.4286999999999"/>
    <n v="0"/>
    <n v="2559361.83"/>
    <n v="1.0551180018184454E-3"/>
  </r>
  <r>
    <s v="FOLHA-NIVIAMATRIZ"/>
    <x v="2"/>
    <x v="2"/>
    <n v="2025"/>
    <n v="313"/>
    <x v="150"/>
    <x v="9"/>
    <x v="18"/>
    <n v="1110.95"/>
    <n v="924.53"/>
    <n v="252.39670000000001"/>
    <n v="73.959999999999994"/>
    <m/>
    <m/>
    <m/>
    <m/>
    <n v="1437.3067000000001"/>
    <n v="189.28"/>
    <n v="2559361.83"/>
    <n v="5.6158792131396284E-4"/>
  </r>
  <r>
    <s v="FOLHA-NIVIAMATRIZ"/>
    <x v="2"/>
    <x v="2"/>
    <n v="2025"/>
    <n v="183"/>
    <x v="112"/>
    <x v="8"/>
    <x v="15"/>
    <n v="2099.4299999999998"/>
    <n v="2099.4299999999998"/>
    <n v="573.14440000000002"/>
    <n v="167.95"/>
    <n v="336"/>
    <n v="80"/>
    <m/>
    <m/>
    <n v="3256.5243999999998"/>
    <n v="124.43"/>
    <n v="2559361.83"/>
    <n v="1.2723970295360698E-3"/>
  </r>
  <r>
    <s v="FOLHA-NIVIAMATRIZ"/>
    <x v="2"/>
    <x v="2"/>
    <n v="2025"/>
    <n v="257"/>
    <x v="113"/>
    <x v="2"/>
    <x v="2"/>
    <n v="2376.5100000000002"/>
    <n v="2308.6999999999998"/>
    <n v="630.27509999999995"/>
    <n v="184.69"/>
    <n v="335"/>
    <m/>
    <m/>
    <m/>
    <n v="3526.4751000000001"/>
    <n v="155.51"/>
    <n v="2559361.83"/>
    <n v="1.3778728191785215E-3"/>
  </r>
  <r>
    <s v="FOLHA-NIVIAMATRIZ"/>
    <x v="2"/>
    <x v="2"/>
    <n v="2025"/>
    <n v="128"/>
    <x v="115"/>
    <x v="3"/>
    <x v="4"/>
    <n v="3401.61"/>
    <n v="3401.61"/>
    <n v="928.6395"/>
    <n v="272.12"/>
    <n v="500"/>
    <n v="80"/>
    <m/>
    <m/>
    <n v="5182.3694999999998"/>
    <n v="743.01"/>
    <n v="2559361.83"/>
    <n v="2.0248678671589003E-3"/>
  </r>
  <r>
    <s v="FOLHA-NIVIAMATRIZ"/>
    <x v="2"/>
    <x v="2"/>
    <n v="2025"/>
    <n v="306"/>
    <x v="147"/>
    <x v="2"/>
    <x v="2"/>
    <n v="2410.56"/>
    <n v="2356.9499999999998"/>
    <n v="643.44740000000002"/>
    <n v="188.55"/>
    <n v="719"/>
    <n v="80"/>
    <m/>
    <m/>
    <n v="4041.5574000000001"/>
    <n v="189.56"/>
    <n v="2559361.83"/>
    <n v="1.5791269927628794E-3"/>
  </r>
  <r>
    <s v="FOLHA-NIVIAMATRIZ"/>
    <x v="2"/>
    <x v="2"/>
    <n v="2025"/>
    <n v="261"/>
    <x v="117"/>
    <x v="2"/>
    <x v="2"/>
    <n v="2546.1799999999998"/>
    <n v="2524.7399999999998"/>
    <n v="689.25400000000002"/>
    <n v="201.97"/>
    <n v="349"/>
    <m/>
    <m/>
    <m/>
    <n v="3786.404"/>
    <n v="325.18"/>
    <n v="2559361.83"/>
    <n v="1.4794328709669003E-3"/>
  </r>
  <r>
    <s v="FOLHA-NIVIAMATRIZ"/>
    <x v="2"/>
    <x v="2"/>
    <n v="2025"/>
    <n v="175"/>
    <x v="118"/>
    <x v="4"/>
    <x v="7"/>
    <n v="2389.58"/>
    <n v="2310.73"/>
    <n v="630.82929999999999"/>
    <n v="184.85"/>
    <n v="336"/>
    <m/>
    <m/>
    <m/>
    <n v="3541.2593000000002"/>
    <n v="151.34"/>
    <n v="2559361.83"/>
    <n v="1.3836493333965207E-3"/>
  </r>
  <r>
    <s v="FOLHA-NIVIAMATRIZ"/>
    <x v="2"/>
    <x v="2"/>
    <n v="2025"/>
    <n v="124"/>
    <x v="119"/>
    <x v="3"/>
    <x v="4"/>
    <n v="3457.51"/>
    <n v="3457.51"/>
    <n v="943.90020000000004"/>
    <n v="276.60000000000002"/>
    <n v="486"/>
    <m/>
    <m/>
    <m/>
    <n v="5164.0101999999997"/>
    <n v="798.91"/>
    <n v="2559361.83"/>
    <n v="2.0176944773768074E-3"/>
  </r>
  <r>
    <s v="FOLHA-NIVIAMATRIZ"/>
    <x v="2"/>
    <x v="2"/>
    <n v="2025"/>
    <n v="206"/>
    <x v="120"/>
    <x v="3"/>
    <x v="13"/>
    <n v="2470.1999999999998"/>
    <n v="2467.96"/>
    <n v="673.75310000000002"/>
    <n v="197.43"/>
    <n v="336"/>
    <m/>
    <m/>
    <m/>
    <n v="3677.3831"/>
    <n v="231.96"/>
    <n v="2559361.83"/>
    <n v="1.4368359474986776E-3"/>
  </r>
  <r>
    <s v="FOLHA-NIVIAMATRIZ"/>
    <x v="2"/>
    <x v="2"/>
    <n v="2025"/>
    <n v="312"/>
    <x v="151"/>
    <x v="2"/>
    <x v="2"/>
    <n v="1522.66"/>
    <n v="1522.66"/>
    <n v="415.68619999999999"/>
    <n v="121.81"/>
    <m/>
    <m/>
    <m/>
    <m/>
    <n v="2060.1561999999999"/>
    <n v="412.16"/>
    <n v="2559361.83"/>
    <n v="8.0494916969204005E-4"/>
  </r>
  <r>
    <s v="FOLHA-NIVIAMATRIZ"/>
    <x v="2"/>
    <x v="2"/>
    <n v="2025"/>
    <n v="239"/>
    <x v="121"/>
    <x v="1"/>
    <x v="9"/>
    <n v="3454.14"/>
    <n v="2489.89"/>
    <n v="679.74"/>
    <n v="199.19"/>
    <m/>
    <m/>
    <m/>
    <m/>
    <n v="4333.07"/>
    <n v="0"/>
    <n v="2559361.83"/>
    <n v="1.6930275036570344E-3"/>
  </r>
  <r>
    <s v="FOLHA-NIVIAMATRIZ"/>
    <x v="2"/>
    <x v="2"/>
    <n v="2025"/>
    <n v="51"/>
    <x v="122"/>
    <x v="6"/>
    <x v="11"/>
    <n v="8157.41"/>
    <n v="8157.41"/>
    <n v="1631.482"/>
    <n v="0"/>
    <m/>
    <m/>
    <m/>
    <m/>
    <n v="9788.8919999999998"/>
    <n v="0"/>
    <n v="2559361.83"/>
    <n v="3.8247393882560169E-3"/>
  </r>
  <r>
    <s v="FOLHA-NIVIAMATRIZ"/>
    <x v="2"/>
    <x v="2"/>
    <n v="2025"/>
    <n v="176"/>
    <x v="123"/>
    <x v="2"/>
    <x v="14"/>
    <n v="2630.35"/>
    <n v="2624.34"/>
    <n v="716.44479999999999"/>
    <n v="209.94"/>
    <n v="600"/>
    <m/>
    <m/>
    <m/>
    <n v="4156.7348000000002"/>
    <n v="309.05"/>
    <n v="2559361.83"/>
    <n v="1.6241294104163456E-3"/>
  </r>
  <r>
    <s v="FOLHA-NIVIAMATRIZ"/>
    <x v="2"/>
    <x v="2"/>
    <n v="2025"/>
    <n v="130"/>
    <x v="124"/>
    <x v="7"/>
    <x v="3"/>
    <n v="2258.16"/>
    <n v="1874.6"/>
    <n v="511.76580000000001"/>
    <n v="149.96"/>
    <n v="322"/>
    <m/>
    <m/>
    <m/>
    <n v="3241.8858"/>
    <n v="179.95"/>
    <n v="2559361.83"/>
    <n v="1.2666774044996993E-3"/>
  </r>
  <r>
    <s v="FOLHA-NIVIAMATRIZ"/>
    <x v="2"/>
    <x v="2"/>
    <n v="2025"/>
    <n v="309"/>
    <x v="152"/>
    <x v="3"/>
    <x v="6"/>
    <n v="1366.03"/>
    <n v="395"/>
    <n v="107.83499999999999"/>
    <n v="31.6"/>
    <m/>
    <m/>
    <m/>
    <m/>
    <n v="1505.4649999999999"/>
    <n v="0"/>
    <n v="2559361.83"/>
    <n v="5.8821889986536207E-4"/>
  </r>
  <r>
    <s v="FOLHA-NIVIAMATRIZ"/>
    <x v="2"/>
    <x v="2"/>
    <n v="2025"/>
    <n v="277"/>
    <x v="125"/>
    <x v="3"/>
    <x v="3"/>
    <n v="2310.21"/>
    <n v="2310.21"/>
    <n v="630.68730000000005"/>
    <n v="184.81"/>
    <n v="336"/>
    <m/>
    <m/>
    <m/>
    <n v="3461.7073"/>
    <n v="232"/>
    <n v="2559361.83"/>
    <n v="1.3525666005576086E-3"/>
  </r>
  <r>
    <s v="FOLHA-NIVIAMATRIZ"/>
    <x v="2"/>
    <x v="2"/>
    <n v="2025"/>
    <n v="298"/>
    <x v="128"/>
    <x v="7"/>
    <x v="6"/>
    <n v="2257.11"/>
    <n v="2056.7399999999998"/>
    <n v="561.49"/>
    <n v="164.53"/>
    <n v="322"/>
    <n v="80"/>
    <m/>
    <m/>
    <n v="3385.13"/>
    <n v="282.11"/>
    <n v="2559361.83"/>
    <n v="1.3226461301097078E-3"/>
  </r>
  <r>
    <s v="FOLHA-NIVIAMATRIZ"/>
    <x v="2"/>
    <x v="2"/>
    <n v="2025"/>
    <n v="94"/>
    <x v="129"/>
    <x v="4"/>
    <x v="8"/>
    <n v="3020.69"/>
    <n v="2979.02"/>
    <n v="813.27250000000004"/>
    <n v="238.32"/>
    <n v="126"/>
    <m/>
    <m/>
    <m/>
    <n v="4198.2825000000003"/>
    <n v="4.17"/>
    <n v="2559361.83"/>
    <n v="1.6403630040852802E-3"/>
  </r>
  <r>
    <s v="FOLHA-NIVIAMATRIZ"/>
    <x v="2"/>
    <x v="2"/>
    <n v="2025"/>
    <n v="55"/>
    <x v="130"/>
    <x v="1"/>
    <x v="4"/>
    <n v="2894.07"/>
    <n v="2894.07"/>
    <n v="790.08109999999999"/>
    <n v="231.52"/>
    <n v="536"/>
    <n v="80"/>
    <m/>
    <n v="306.8"/>
    <n v="4838.4710999999998"/>
    <n v="532.30999999999995"/>
    <n v="2559361.83"/>
    <n v="1.890499050694993E-3"/>
  </r>
  <r>
    <s v="FOLHA-NIVIAMATRIZ"/>
    <x v="2"/>
    <x v="2"/>
    <n v="2025"/>
    <n v="314"/>
    <x v="153"/>
    <x v="8"/>
    <x v="15"/>
    <n v="535.21"/>
    <n v="535.21"/>
    <n v="146.1123"/>
    <n v="42.81"/>
    <m/>
    <m/>
    <m/>
    <m/>
    <n v="724.13229999999999"/>
    <n v="8.5399999999999991"/>
    <n v="2559361.83"/>
    <n v="2.8293472283283996E-4"/>
  </r>
  <r>
    <s v="FOLHA-NIVIAMATRIZ"/>
    <x v="2"/>
    <x v="2"/>
    <n v="2025"/>
    <n v="246"/>
    <x v="131"/>
    <x v="2"/>
    <x v="2"/>
    <n v="2629.34"/>
    <n v="2617.0700000000002"/>
    <n v="714.46010000000001"/>
    <n v="209.36"/>
    <n v="290"/>
    <m/>
    <n v="122.84"/>
    <m/>
    <n v="3966.0001000000002"/>
    <n v="408.34"/>
    <n v="2559361.83"/>
    <n v="1.5496050865148677E-3"/>
  </r>
  <r>
    <s v="FOLHA-NIVIAMATRIZ"/>
    <x v="2"/>
    <x v="2"/>
    <n v="2025"/>
    <n v="281"/>
    <x v="132"/>
    <x v="3"/>
    <x v="13"/>
    <n v="2423.92"/>
    <n v="2382.7199999999998"/>
    <n v="650.48260000000005"/>
    <n v="190.61"/>
    <n v="322"/>
    <m/>
    <m/>
    <m/>
    <n v="3587.0126"/>
    <n v="185.68"/>
    <n v="2559361.83"/>
    <n v="1.401526160918013E-3"/>
  </r>
  <r>
    <s v="FOLHA-NIVIAMATRIZ"/>
    <x v="2"/>
    <x v="2"/>
    <n v="2025"/>
    <n v="307"/>
    <x v="148"/>
    <x v="3"/>
    <x v="6"/>
    <n v="2173.3000000000002"/>
    <n v="2171.5"/>
    <n v="592.81949999999995"/>
    <n v="173.72"/>
    <n v="336"/>
    <n v="80"/>
    <m/>
    <m/>
    <n v="3355.8395"/>
    <n v="198.3"/>
    <n v="2559361.83"/>
    <n v="1.3112016678001328E-3"/>
  </r>
  <r>
    <s v="FOLHA-NIVIAMATRIZ"/>
    <x v="2"/>
    <x v="2"/>
    <n v="2025"/>
    <n v="44"/>
    <x v="133"/>
    <x v="1"/>
    <x v="7"/>
    <n v="2465.63"/>
    <n v="2454.64"/>
    <n v="670.11670000000004"/>
    <n v="196.37"/>
    <n v="336"/>
    <m/>
    <m/>
    <m/>
    <n v="3668.1167"/>
    <n v="227.39"/>
    <n v="2559361.83"/>
    <n v="1.4332153730682153E-3"/>
  </r>
  <r>
    <s v="FOLHA-NIVIAMATRIZ"/>
    <x v="2"/>
    <x v="2"/>
    <n v="2025"/>
    <n v="196"/>
    <x v="134"/>
    <x v="1"/>
    <x v="7"/>
    <n v="2556.83"/>
    <n v="2556.83"/>
    <n v="698.01459999999997"/>
    <n v="204.54"/>
    <n v="350"/>
    <n v="80"/>
    <n v="122.84"/>
    <m/>
    <n v="4012.2246"/>
    <n v="318.58999999999997"/>
    <n v="2559361.83"/>
    <n v="1.5676660263390736E-3"/>
  </r>
  <r>
    <s v="FOLHA-NIVIAMATRIZ"/>
    <x v="2"/>
    <x v="2"/>
    <n v="2025"/>
    <n v="299"/>
    <x v="135"/>
    <x v="2"/>
    <x v="2"/>
    <n v="2478.1799999999998"/>
    <n v="2463.88"/>
    <n v="672.63919999999996"/>
    <n v="197.11"/>
    <n v="364"/>
    <m/>
    <m/>
    <n v="286.8"/>
    <n v="3998.7292000000002"/>
    <n v="257.18"/>
    <n v="2559361.83"/>
    <n v="1.562393090780759E-3"/>
  </r>
  <r>
    <s v="FOLHA-NIVIAMATRIZ"/>
    <x v="2"/>
    <x v="2"/>
    <n v="2025"/>
    <n v="148"/>
    <x v="136"/>
    <x v="8"/>
    <x v="17"/>
    <n v="2491.1799999999998"/>
    <n v="1428.32"/>
    <n v="389.9314"/>
    <n v="199.29"/>
    <m/>
    <m/>
    <m/>
    <m/>
    <n v="3080.4014000000002"/>
    <n v="0"/>
    <n v="2559361.83"/>
    <n v="1.2035818163311438E-3"/>
  </r>
  <r>
    <s v="FOLHA-NIVIAMATRIZ"/>
    <x v="2"/>
    <x v="2"/>
    <n v="2025"/>
    <n v="311"/>
    <x v="154"/>
    <x v="3"/>
    <x v="6"/>
    <n v="1251.56"/>
    <n v="1251.56"/>
    <n v="341.67590000000001"/>
    <n v="100.12"/>
    <m/>
    <m/>
    <m/>
    <m/>
    <n v="1693.3559"/>
    <n v="198.23"/>
    <n v="2559361.83"/>
    <n v="6.6163207568036605E-4"/>
  </r>
  <r>
    <s v="FOLHA-NIVIAMATRIZ"/>
    <x v="2"/>
    <x v="2"/>
    <n v="2025"/>
    <n v="2008"/>
    <x v="138"/>
    <x v="3"/>
    <x v="10"/>
    <n v="903.4"/>
    <m/>
    <n v="0"/>
    <m/>
    <m/>
    <m/>
    <m/>
    <n v="306.8"/>
    <n v="1210.2"/>
    <m/>
    <n v="2559361.83"/>
    <n v="4.7285225004703614E-4"/>
  </r>
  <r>
    <s v="FOLHA-NIVIAMATRIZ"/>
    <x v="2"/>
    <x v="2"/>
    <n v="2025"/>
    <n v="2009"/>
    <x v="139"/>
    <x v="3"/>
    <x v="10"/>
    <n v="936.54"/>
    <m/>
    <n v="0"/>
    <m/>
    <m/>
    <n v="80"/>
    <m/>
    <m/>
    <n v="1016.54"/>
    <m/>
    <n v="2559361.83"/>
    <n v="3.971849498122741E-4"/>
  </r>
  <r>
    <s v="FOLHA-NIVIAMATRIZ"/>
    <x v="2"/>
    <x v="2"/>
    <n v="2025"/>
    <n v="300"/>
    <x v="140"/>
    <x v="4"/>
    <x v="8"/>
    <n v="2758.61"/>
    <n v="2713.19"/>
    <n v="740.70090000000005"/>
    <n v="217.05"/>
    <n v="336"/>
    <m/>
    <m/>
    <m/>
    <n v="4052.3609000000001"/>
    <n v="333.11"/>
    <n v="2559361.83"/>
    <n v="1.5833481700397167E-3"/>
  </r>
  <r>
    <s v="FOLHA-NIVIAMATRIZ"/>
    <x v="2"/>
    <x v="2"/>
    <n v="2025"/>
    <n v="302"/>
    <x v="142"/>
    <x v="3"/>
    <x v="6"/>
    <n v="2398.9499999999998"/>
    <n v="2398.9499999999998"/>
    <n v="654.91340000000002"/>
    <n v="191.91"/>
    <n v="336"/>
    <n v="80"/>
    <m/>
    <m/>
    <n v="3661.7732999999998"/>
    <n v="423.95"/>
    <n v="2559361.83"/>
    <n v="1.4307368763095134E-3"/>
  </r>
  <r>
    <s v="FOLHA-NIVIAMATRIZ"/>
    <x v="2"/>
    <x v="2"/>
    <n v="2025"/>
    <n v="241"/>
    <x v="114"/>
    <x v="2"/>
    <x v="2"/>
    <n v="7328.7"/>
    <n v="3219.21"/>
    <n v="878.84429999999998"/>
    <n v="396.23"/>
    <n v="300"/>
    <m/>
    <m/>
    <m/>
    <n v="8903.7742999999991"/>
    <m/>
    <n v="2559361.83"/>
    <n v="3.4789040868051079E-3"/>
  </r>
  <r>
    <s v="FOLHA-NIVIAMATRIZ"/>
    <x v="2"/>
    <x v="2"/>
    <n v="2025"/>
    <n v="79"/>
    <x v="127"/>
    <x v="3"/>
    <x v="6"/>
    <n v="8627.15"/>
    <n v="2745.25"/>
    <n v="749.45330000000001"/>
    <n v="439.6"/>
    <n v="252"/>
    <n v="80"/>
    <m/>
    <m/>
    <n v="10148.2032"/>
    <m/>
    <n v="2559361.83"/>
    <n v="3.965130342668273E-3"/>
  </r>
  <r>
    <s v="FOLHA-ADM"/>
    <x v="1"/>
    <x v="0"/>
    <n v="2025"/>
    <n v="90"/>
    <x v="155"/>
    <x v="3"/>
    <x v="19"/>
    <n v="2553.17"/>
    <n v="2553.17"/>
    <n v="0"/>
    <n v="204.25"/>
    <n v="700"/>
    <n v="80"/>
    <n v="0"/>
    <n v="0"/>
    <n v="3537.42"/>
    <n v="353.17"/>
    <n v="1657043.9"/>
    <n v="2.1347774793413743E-3"/>
  </r>
  <r>
    <s v="FOLHA-ADM"/>
    <x v="2"/>
    <x v="0"/>
    <n v="2025"/>
    <n v="75"/>
    <x v="156"/>
    <x v="4"/>
    <x v="8"/>
    <n v="2508.23"/>
    <n v="2480.4499999999998"/>
    <n v="0"/>
    <n v="198.43"/>
    <n v="308"/>
    <n v="0"/>
    <n v="0"/>
    <n v="0"/>
    <n v="3014.66"/>
    <n v="82.73"/>
    <n v="2348338.65"/>
    <n v="1.2837415932323048E-3"/>
  </r>
  <r>
    <s v="FOLHA-ADM"/>
    <x v="2"/>
    <x v="0"/>
    <n v="2025"/>
    <n v="63"/>
    <x v="157"/>
    <x v="3"/>
    <x v="4"/>
    <n v="3082.82"/>
    <n v="3082.82"/>
    <n v="0"/>
    <n v="246.62"/>
    <n v="706"/>
    <n v="80"/>
    <n v="122.84"/>
    <n v="0"/>
    <n v="4238.28"/>
    <n v="395.2"/>
    <n v="2348338.65"/>
    <n v="1.8047993205749944E-3"/>
  </r>
  <r>
    <s v="FOLHA-ADM"/>
    <x v="0"/>
    <x v="0"/>
    <n v="2025"/>
    <n v="900000"/>
    <x v="158"/>
    <x v="6"/>
    <x v="11"/>
    <n v="2824"/>
    <n v="2824"/>
    <n v="0"/>
    <n v="0"/>
    <n v="0"/>
    <n v="0"/>
    <n v="0"/>
    <n v="0"/>
    <n v="2824"/>
    <n v="0"/>
    <n v="1309803.51"/>
    <n v="2.1560485816685582E-3"/>
  </r>
  <r>
    <s v="FOLHA-ADM"/>
    <x v="2"/>
    <x v="0"/>
    <n v="2025"/>
    <n v="88"/>
    <x v="159"/>
    <x v="0"/>
    <x v="20"/>
    <n v="2672.25"/>
    <n v="2672.25"/>
    <n v="0"/>
    <n v="213.78"/>
    <n v="1300"/>
    <n v="80"/>
    <n v="122.84"/>
    <n v="0"/>
    <n v="4388.87"/>
    <n v="172.25"/>
    <n v="2348338.65"/>
    <n v="1.8689255061232332E-3"/>
  </r>
  <r>
    <s v="FOLHA-ADM"/>
    <x v="2"/>
    <x v="0"/>
    <n v="2025"/>
    <n v="84"/>
    <x v="160"/>
    <x v="1"/>
    <x v="21"/>
    <n v="3853.33"/>
    <n v="3853.33"/>
    <n v="0"/>
    <n v="308.26"/>
    <n v="706"/>
    <n v="80"/>
    <n v="0"/>
    <n v="0"/>
    <n v="4947.59"/>
    <n v="1353.33"/>
    <n v="2348338.65"/>
    <n v="2.1068468979122752E-3"/>
  </r>
  <r>
    <s v="FOLHA-ADM"/>
    <x v="0"/>
    <x v="0"/>
    <n v="2025"/>
    <n v="51"/>
    <x v="161"/>
    <x v="3"/>
    <x v="4"/>
    <n v="3258.25"/>
    <n v="3258.25"/>
    <n v="0"/>
    <n v="260.66000000000003"/>
    <n v="806"/>
    <n v="80"/>
    <n v="0"/>
    <n v="0"/>
    <n v="4404.91"/>
    <n v="598.13"/>
    <n v="1309803.51"/>
    <n v="3.3630311465572419E-3"/>
  </r>
  <r>
    <s v="FOLHA-ADM"/>
    <x v="0"/>
    <x v="0"/>
    <n v="2025"/>
    <n v="94"/>
    <x v="162"/>
    <x v="3"/>
    <x v="4"/>
    <n v="3135.7"/>
    <n v="3120.84"/>
    <n v="0"/>
    <n v="249.66"/>
    <n v="500"/>
    <n v="80"/>
    <n v="0"/>
    <n v="0"/>
    <n v="3965.36"/>
    <n v="477.1"/>
    <n v="1309803.51"/>
    <n v="3.0274464602709759E-3"/>
  </r>
  <r>
    <s v="FOLHA-ADM"/>
    <x v="2"/>
    <x v="0"/>
    <n v="2025"/>
    <n v="24"/>
    <x v="163"/>
    <x v="7"/>
    <x v="4"/>
    <n v="3291.16"/>
    <n v="3291.16"/>
    <n v="0"/>
    <n v="263.29000000000002"/>
    <n v="706"/>
    <n v="80"/>
    <n v="0"/>
    <n v="0"/>
    <n v="4340.45"/>
    <n v="0"/>
    <n v="2348338.65"/>
    <n v="1.8483066741672885E-3"/>
  </r>
  <r>
    <s v="FOLHA-ADM"/>
    <x v="0"/>
    <x v="0"/>
    <n v="2025"/>
    <n v="92"/>
    <x v="164"/>
    <x v="2"/>
    <x v="14"/>
    <n v="3139.67"/>
    <n v="3139.67"/>
    <n v="0"/>
    <n v="251.17"/>
    <n v="400"/>
    <n v="80"/>
    <n v="0"/>
    <n v="0"/>
    <n v="3870.84"/>
    <n v="818.37"/>
    <n v="1309803.51"/>
    <n v="2.9552829645417581E-3"/>
  </r>
  <r>
    <s v="FOLHA-ADM"/>
    <x v="2"/>
    <x v="0"/>
    <n v="2025"/>
    <n v="86"/>
    <x v="165"/>
    <x v="2"/>
    <x v="14"/>
    <n v="2611.23"/>
    <n v="2611.23"/>
    <n v="0"/>
    <n v="208.89"/>
    <n v="400"/>
    <n v="0"/>
    <n v="0"/>
    <n v="0"/>
    <n v="3220.12"/>
    <n v="289.93"/>
    <n v="2348338.65"/>
    <n v="1.3712332333328499E-3"/>
  </r>
  <r>
    <s v="FOLHA-ADM"/>
    <x v="1"/>
    <x v="0"/>
    <n v="2025"/>
    <n v="1"/>
    <x v="166"/>
    <x v="0"/>
    <x v="22"/>
    <n v="6210.06"/>
    <n v="6210.06"/>
    <n v="0"/>
    <n v="496.8"/>
    <n v="1500"/>
    <n v="80"/>
    <n v="122.84"/>
    <n v="0"/>
    <n v="8409.7000000000007"/>
    <n v="0"/>
    <n v="1657043.9"/>
    <n v="5.0751220290542699E-3"/>
  </r>
  <r>
    <s v="FOLHA-ADM"/>
    <x v="2"/>
    <x v="0"/>
    <n v="2025"/>
    <n v="89"/>
    <x v="167"/>
    <x v="3"/>
    <x v="23"/>
    <n v="4200"/>
    <n v="4200"/>
    <n v="0"/>
    <n v="336"/>
    <n v="706"/>
    <n v="80"/>
    <n v="0"/>
    <n v="0"/>
    <n v="5322"/>
    <n v="0"/>
    <n v="2348338.65"/>
    <n v="2.2662830167190749E-3"/>
  </r>
  <r>
    <s v="FOLHA-ADM"/>
    <x v="0"/>
    <x v="0"/>
    <n v="2025"/>
    <n v="44"/>
    <x v="168"/>
    <x v="3"/>
    <x v="4"/>
    <n v="3270.03"/>
    <n v="3270.03"/>
    <n v="0"/>
    <n v="261.60000000000002"/>
    <n v="500"/>
    <n v="80"/>
    <n v="0"/>
    <n v="0"/>
    <n v="4111.63"/>
    <n v="609.5"/>
    <n v="1309803.51"/>
    <n v="3.1391196989539296E-3"/>
  </r>
  <r>
    <s v="FOLHA-ADM"/>
    <x v="2"/>
    <x v="0"/>
    <n v="2025"/>
    <n v="85"/>
    <x v="169"/>
    <x v="4"/>
    <x v="4"/>
    <n v="3028.07"/>
    <n v="3028.07"/>
    <n v="0"/>
    <n v="242.24"/>
    <n v="806"/>
    <n v="80"/>
    <n v="0"/>
    <n v="0"/>
    <n v="4156.3100000000004"/>
    <n v="228.07"/>
    <n v="2348338.65"/>
    <n v="1.7698937927883617E-3"/>
  </r>
  <r>
    <s v="FOLHA-ADM"/>
    <x v="1"/>
    <x v="0"/>
    <n v="2025"/>
    <n v="14"/>
    <x v="170"/>
    <x v="4"/>
    <x v="24"/>
    <n v="5919.19"/>
    <n v="5861.32"/>
    <n v="0"/>
    <n v="468.9"/>
    <n v="600"/>
    <n v="80"/>
    <n v="122.84"/>
    <n v="0"/>
    <n v="7190.93"/>
    <n v="0"/>
    <n v="1657043.9"/>
    <n v="4.3396134526067776E-3"/>
  </r>
  <r>
    <s v="FOLHA-ADM"/>
    <x v="1"/>
    <x v="0"/>
    <n v="2025"/>
    <n v="66"/>
    <x v="171"/>
    <x v="3"/>
    <x v="4"/>
    <n v="2751.76"/>
    <n v="2746.93"/>
    <n v="0"/>
    <n v="219.75"/>
    <n v="500"/>
    <n v="80"/>
    <n v="0"/>
    <n v="306.8"/>
    <n v="3858.31"/>
    <n v="93.16"/>
    <n v="1657043.9"/>
    <n v="2.3284295606169521E-3"/>
  </r>
  <r>
    <s v="FOLHA-ADM"/>
    <x v="0"/>
    <x v="0"/>
    <n v="2025"/>
    <n v="80"/>
    <x v="172"/>
    <x v="0"/>
    <x v="20"/>
    <n v="2509.98"/>
    <n v="2501.8000000000002"/>
    <n v="0"/>
    <n v="200.14"/>
    <n v="1299"/>
    <n v="0"/>
    <n v="0"/>
    <n v="0"/>
    <n v="4009.12"/>
    <n v="9.98"/>
    <n v="1309803.51"/>
    <n v="3.0608560516073133E-3"/>
  </r>
  <r>
    <s v="FOLHA-ADM"/>
    <x v="2"/>
    <x v="0"/>
    <n v="2025"/>
    <n v="91"/>
    <x v="173"/>
    <x v="3"/>
    <x v="4"/>
    <n v="2891.87"/>
    <n v="2891.87"/>
    <n v="0"/>
    <n v="231.34"/>
    <n v="500"/>
    <n v="0"/>
    <n v="0"/>
    <n v="0"/>
    <n v="3623.21"/>
    <n v="291.87"/>
    <n v="2348338.65"/>
    <n v="1.5428822414518453E-3"/>
  </r>
  <r>
    <s v="FOLHA-ADM"/>
    <x v="1"/>
    <x v="0"/>
    <n v="2025"/>
    <n v="3"/>
    <x v="174"/>
    <x v="3"/>
    <x v="4"/>
    <n v="2706.25"/>
    <n v="2706.25"/>
    <n v="0"/>
    <n v="216.5"/>
    <n v="0"/>
    <n v="80"/>
    <n v="122.84"/>
    <n v="0"/>
    <n v="3125.59"/>
    <n v="0"/>
    <n v="1657043.9"/>
    <n v="1.8862445346197528E-3"/>
  </r>
  <r>
    <s v="FOLHA-ADM"/>
    <x v="2"/>
    <x v="0"/>
    <n v="2025"/>
    <n v="77"/>
    <x v="175"/>
    <x v="5"/>
    <x v="5"/>
    <n v="2221.14"/>
    <n v="2221.14"/>
    <n v="0"/>
    <n v="177.69"/>
    <n v="906"/>
    <n v="80"/>
    <n v="122.84"/>
    <n v="0"/>
    <n v="3507.67"/>
    <n v="156.44"/>
    <n v="2348338.65"/>
    <n v="1.4936815011753098E-3"/>
  </r>
  <r>
    <s v="FOLHA-ADM"/>
    <x v="0"/>
    <x v="0"/>
    <n v="2025"/>
    <n v="39"/>
    <x v="176"/>
    <x v="2"/>
    <x v="14"/>
    <n v="3087.26"/>
    <n v="0"/>
    <n v="0"/>
    <n v="0"/>
    <n v="0"/>
    <n v="0"/>
    <n v="122.84"/>
    <n v="0"/>
    <n v="3210.1"/>
    <n v="0"/>
    <n v="1309803.51"/>
    <n v="2.4508256204016435E-3"/>
  </r>
  <r>
    <s v="FOLHA-ADM"/>
    <x v="1"/>
    <x v="0"/>
    <n v="2025"/>
    <n v="4"/>
    <x v="177"/>
    <x v="0"/>
    <x v="25"/>
    <n v="4049.87"/>
    <n v="4049.87"/>
    <n v="0"/>
    <n v="323.98"/>
    <n v="706"/>
    <n v="80"/>
    <n v="122.84"/>
    <n v="0"/>
    <n v="5282.69"/>
    <n v="196.19"/>
    <n v="1657043.9"/>
    <n v="3.1880205467097159E-3"/>
  </r>
  <r>
    <s v="FOLHA-ADM"/>
    <x v="1"/>
    <x v="0"/>
    <n v="2025"/>
    <n v="71"/>
    <x v="178"/>
    <x v="2"/>
    <x v="14"/>
    <n v="2583.65"/>
    <n v="2566.98"/>
    <n v="0"/>
    <n v="205.35"/>
    <n v="400"/>
    <n v="80"/>
    <n v="122.84"/>
    <n v="0"/>
    <n v="3391.84"/>
    <n v="262.35000000000002"/>
    <n v="1657043.9"/>
    <n v="2.0469222330198977E-3"/>
  </r>
  <r>
    <s v="FOLHA-ADM"/>
    <x v="2"/>
    <x v="0"/>
    <n v="2025"/>
    <n v="93"/>
    <x v="179"/>
    <x v="0"/>
    <x v="26"/>
    <n v="6720"/>
    <n v="6720"/>
    <n v="0"/>
    <n v="537.6"/>
    <n v="2034"/>
    <n v="80"/>
    <n v="0"/>
    <n v="0"/>
    <n v="9371.6"/>
    <n v="0"/>
    <n v="2348338.65"/>
    <n v="3.9907361742736727E-3"/>
  </r>
  <r>
    <s v="FOLHA-ADM"/>
    <x v="2"/>
    <x v="0"/>
    <n v="2025"/>
    <n v="82"/>
    <x v="180"/>
    <x v="0"/>
    <x v="0"/>
    <n v="2568.48"/>
    <n v="2568.48"/>
    <n v="0"/>
    <n v="205.47"/>
    <n v="400"/>
    <n v="80"/>
    <n v="0"/>
    <n v="0"/>
    <n v="3253.95"/>
    <n v="247.18"/>
    <n v="2348338.65"/>
    <n v="1.385639162392528E-3"/>
  </r>
  <r>
    <s v="FOLHA-ADM"/>
    <x v="1"/>
    <x v="0"/>
    <n v="2025"/>
    <n v="87"/>
    <x v="181"/>
    <x v="0"/>
    <x v="0"/>
    <n v="2505.46"/>
    <n v="2505.46"/>
    <n v="0"/>
    <n v="200.43"/>
    <n v="400"/>
    <n v="80"/>
    <n v="0"/>
    <n v="306.8"/>
    <n v="3492.69"/>
    <n v="184.16"/>
    <n v="1657043.9"/>
    <n v="2.1077836260101498E-3"/>
  </r>
  <r>
    <s v="FOLHA-ADM"/>
    <x v="2"/>
    <x v="0"/>
    <n v="2025"/>
    <n v="8"/>
    <x v="182"/>
    <x v="4"/>
    <x v="7"/>
    <n v="3314.74"/>
    <n v="3314.74"/>
    <n v="0"/>
    <n v="265.17"/>
    <n v="706"/>
    <n v="80"/>
    <n v="122.84"/>
    <n v="0"/>
    <n v="4488.75"/>
    <n v="28.36"/>
    <n v="2348338.65"/>
    <n v="1.9114577022355784E-3"/>
  </r>
  <r>
    <s v="FOLHA-ADM"/>
    <x v="1"/>
    <x v="0"/>
    <n v="2025"/>
    <n v="30"/>
    <x v="183"/>
    <x v="9"/>
    <x v="18"/>
    <n v="2414.37"/>
    <n v="2414.37"/>
    <n v="0"/>
    <n v="193.14"/>
    <n v="0"/>
    <n v="0"/>
    <n v="122.84"/>
    <n v="0"/>
    <n v="2730.35"/>
    <n v="0"/>
    <n v="1657043.9"/>
    <n v="1.6477233946547826E-3"/>
  </r>
  <r>
    <s v="FOLHA-ADM"/>
    <x v="2"/>
    <x v="0"/>
    <n v="2025"/>
    <n v="96"/>
    <x v="184"/>
    <x v="3"/>
    <x v="6"/>
    <n v="0"/>
    <n v="0"/>
    <n v="0"/>
    <n v="0"/>
    <n v="266"/>
    <n v="0"/>
    <n v="0"/>
    <n v="0"/>
    <n v="266"/>
    <n v="0"/>
    <n v="2348338.65"/>
    <n v="1.1327156753988612E-4"/>
  </r>
  <r>
    <s v="FOLHA-ADM"/>
    <x v="1"/>
    <x v="0"/>
    <n v="2025"/>
    <n v="95"/>
    <x v="185"/>
    <x v="3"/>
    <x v="27"/>
    <n v="2030.61"/>
    <n v="2003.52"/>
    <n v="0"/>
    <n v="160.28"/>
    <n v="1070"/>
    <n v="0"/>
    <n v="0"/>
    <n v="0"/>
    <n v="3260.89"/>
    <n v="163.94"/>
    <n v="1657043.9"/>
    <n v="1.9678959622011221E-3"/>
  </r>
  <r>
    <s v="FOLHA-ADM"/>
    <x v="0"/>
    <x v="0"/>
    <n v="2025"/>
    <s v="FORA01"/>
    <x v="186"/>
    <x v="0"/>
    <x v="28"/>
    <n v="0"/>
    <n v="0"/>
    <n v="0"/>
    <n v="0"/>
    <n v="706"/>
    <n v="80"/>
    <n v="122.84"/>
    <n v="0"/>
    <n v="908.84"/>
    <n v="0"/>
    <n v="1309803.51"/>
    <n v="6.9387506832990547E-4"/>
  </r>
  <r>
    <s v="FOLHA-ADM"/>
    <x v="1"/>
    <x v="0"/>
    <n v="2025"/>
    <s v="FORA02"/>
    <x v="187"/>
    <x v="3"/>
    <x v="4"/>
    <n v="0"/>
    <n v="0"/>
    <n v="0"/>
    <n v="0"/>
    <n v="500"/>
    <n v="0"/>
    <n v="0"/>
    <n v="0"/>
    <n v="500"/>
    <n v="0"/>
    <n v="1657043.9"/>
    <n v="3.017421566199906E-4"/>
  </r>
  <r>
    <s v="FOLHA-ADM"/>
    <x v="1"/>
    <x v="0"/>
    <n v="2025"/>
    <s v="FORA03"/>
    <x v="188"/>
    <x v="9"/>
    <x v="29"/>
    <n v="0"/>
    <n v="0"/>
    <n v="0"/>
    <n v="0"/>
    <n v="706"/>
    <n v="80"/>
    <n v="0"/>
    <n v="0"/>
    <n v="786"/>
    <n v="0"/>
    <n v="1657043.9"/>
    <n v="4.7433867020662521E-4"/>
  </r>
  <r>
    <s v="FOLHA-ADM"/>
    <x v="2"/>
    <x v="0"/>
    <n v="2025"/>
    <n v="98"/>
    <x v="189"/>
    <x v="0"/>
    <x v="20"/>
    <n v="1735.7"/>
    <n v="1735.7"/>
    <n v="0"/>
    <n v="138.85"/>
    <n v="872"/>
    <n v="80"/>
    <n v="122.84"/>
    <n v="0"/>
    <n v="2949.39"/>
    <n v="0"/>
    <n v="2348338.65"/>
    <n v="1.2559474758889653E-3"/>
  </r>
  <r>
    <s v="FOLHA-ADM"/>
    <x v="2"/>
    <x v="0"/>
    <n v="2025"/>
    <n v="97"/>
    <x v="190"/>
    <x v="5"/>
    <x v="30"/>
    <n v="798.78"/>
    <n v="732.95"/>
    <n v="0"/>
    <n v="58.63"/>
    <n v="0"/>
    <n v="0"/>
    <n v="122.84"/>
    <n v="0"/>
    <n v="980.25"/>
    <n v="8.7799999999999994"/>
    <n v="2348338.65"/>
    <n v="4.1742275970290744E-4"/>
  </r>
  <r>
    <s v="FOLHA-ADM"/>
    <x v="0"/>
    <x v="0"/>
    <n v="2025"/>
    <n v="99"/>
    <x v="191"/>
    <x v="5"/>
    <x v="30"/>
    <n v="762.14"/>
    <n v="762.14"/>
    <n v="0"/>
    <n v="60.97"/>
    <n v="0"/>
    <n v="0"/>
    <n v="0"/>
    <n v="0"/>
    <n v="823.11"/>
    <n v="37.97"/>
    <n v="1309803.51"/>
    <n v="6.2842250285311874E-4"/>
  </r>
  <r>
    <s v="FOLHA-ADM"/>
    <x v="1"/>
    <x v="1"/>
    <n v="2025"/>
    <n v="90"/>
    <x v="155"/>
    <x v="3"/>
    <x v="19"/>
    <n v="2699.82"/>
    <n v="2699.82"/>
    <n v="0"/>
    <n v="215.98"/>
    <n v="700"/>
    <n v="80"/>
    <n v="0"/>
    <n v="0"/>
    <n v="3695.8"/>
    <n v="499.82"/>
    <n v="1849662.93"/>
    <n v="1.9980937824168863E-3"/>
  </r>
  <r>
    <s v="FOLHA-ADM"/>
    <x v="2"/>
    <x v="1"/>
    <n v="2025"/>
    <n v="75"/>
    <x v="156"/>
    <x v="4"/>
    <x v="8"/>
    <n v="2747.92"/>
    <n v="2722.34"/>
    <n v="0"/>
    <n v="217.78"/>
    <n v="628"/>
    <n v="0"/>
    <n v="0"/>
    <n v="0"/>
    <n v="3593.7"/>
    <n v="322.42"/>
    <n v="2637808.56"/>
    <n v="1.3623808999998089E-3"/>
  </r>
  <r>
    <s v="FOLHA-ADM"/>
    <x v="2"/>
    <x v="1"/>
    <n v="2025"/>
    <n v="63"/>
    <x v="157"/>
    <x v="3"/>
    <x v="4"/>
    <n v="2986.39"/>
    <n v="2986.39"/>
    <n v="0"/>
    <n v="238.91"/>
    <n v="706"/>
    <n v="0"/>
    <n v="122.84"/>
    <n v="0"/>
    <n v="4054.14"/>
    <n v="298.77"/>
    <n v="2637808.56"/>
    <n v="1.5369348865863109E-3"/>
  </r>
  <r>
    <s v="FOLHA-ADM"/>
    <x v="0"/>
    <x v="1"/>
    <n v="2025"/>
    <n v="900000"/>
    <x v="158"/>
    <x v="6"/>
    <x v="11"/>
    <n v="2824"/>
    <n v="2824"/>
    <n v="0"/>
    <n v="0"/>
    <n v="0"/>
    <n v="0"/>
    <n v="0"/>
    <n v="0"/>
    <n v="2824"/>
    <n v="0"/>
    <n v="1477999.27"/>
    <n v="1.9106910654969405E-3"/>
  </r>
  <r>
    <s v="FOLHA-ADM"/>
    <x v="2"/>
    <x v="1"/>
    <n v="2025"/>
    <n v="88"/>
    <x v="159"/>
    <x v="0"/>
    <x v="20"/>
    <n v="2636.14"/>
    <n v="2633.53"/>
    <n v="0"/>
    <n v="210.68"/>
    <n v="1300"/>
    <n v="80"/>
    <n v="122.84"/>
    <n v="0"/>
    <n v="4349.66"/>
    <n v="136.13999999999999"/>
    <n v="2637808.56"/>
    <n v="1.6489672775950048E-3"/>
  </r>
  <r>
    <s v="FOLHA-ADM"/>
    <x v="2"/>
    <x v="1"/>
    <n v="2025"/>
    <n v="84"/>
    <x v="160"/>
    <x v="1"/>
    <x v="21"/>
    <n v="3639.19"/>
    <n v="3639.19"/>
    <n v="0"/>
    <n v="291.13"/>
    <n v="706"/>
    <n v="80"/>
    <n v="0"/>
    <n v="0"/>
    <n v="4716.32"/>
    <n v="1139.19"/>
    <n v="2637808.56"/>
    <n v="1.7879690253185011E-3"/>
  </r>
  <r>
    <s v="FOLHA-ADM"/>
    <x v="0"/>
    <x v="1"/>
    <n v="2025"/>
    <n v="51"/>
    <x v="161"/>
    <x v="3"/>
    <x v="4"/>
    <n v="4132.05"/>
    <n v="4132.05"/>
    <n v="0"/>
    <n v="330.56"/>
    <n v="806"/>
    <n v="0"/>
    <n v="0"/>
    <n v="0"/>
    <n v="5268.61"/>
    <n v="0"/>
    <n v="1477999.27"/>
    <n v="3.5646905292449843E-3"/>
  </r>
  <r>
    <s v="FOLHA-ADM"/>
    <x v="0"/>
    <x v="1"/>
    <n v="2025"/>
    <n v="94"/>
    <x v="162"/>
    <x v="3"/>
    <x v="4"/>
    <n v="3212.34"/>
    <n v="3212.34"/>
    <n v="0"/>
    <n v="256.98"/>
    <n v="500"/>
    <n v="0"/>
    <n v="0"/>
    <n v="0"/>
    <n v="3969.32"/>
    <n v="553.74"/>
    <n v="1477999.27"/>
    <n v="2.6856034915362305E-3"/>
  </r>
  <r>
    <s v="FOLHA-ADM"/>
    <x v="2"/>
    <x v="1"/>
    <n v="2025"/>
    <n v="24"/>
    <x v="163"/>
    <x v="7"/>
    <x v="4"/>
    <n v="3291.16"/>
    <n v="3291.16"/>
    <n v="0"/>
    <n v="263.29000000000002"/>
    <n v="706"/>
    <n v="80"/>
    <n v="0"/>
    <n v="0"/>
    <n v="4340.45"/>
    <n v="0"/>
    <n v="2637808.56"/>
    <n v="1.6454757429401926E-3"/>
  </r>
  <r>
    <s v="FOLHA-ADM"/>
    <x v="0"/>
    <x v="1"/>
    <n v="2025"/>
    <n v="92"/>
    <x v="164"/>
    <x v="2"/>
    <x v="14"/>
    <n v="2999.23"/>
    <n v="2999.23"/>
    <n v="0"/>
    <n v="239.93"/>
    <n v="400"/>
    <n v="80"/>
    <n v="0"/>
    <n v="233.6"/>
    <n v="3952.76"/>
    <n v="677.93"/>
    <n v="1477999.27"/>
    <n v="2.6743991558263762E-3"/>
  </r>
  <r>
    <s v="FOLHA-ADM"/>
    <x v="2"/>
    <x v="1"/>
    <n v="2025"/>
    <n v="86"/>
    <x v="165"/>
    <x v="2"/>
    <x v="14"/>
    <n v="2582.98"/>
    <n v="2369.98"/>
    <n v="0"/>
    <n v="189.59"/>
    <n v="400"/>
    <n v="80"/>
    <n v="0"/>
    <n v="0"/>
    <n v="3252.57"/>
    <n v="261.68"/>
    <n v="2637808.56"/>
    <n v="1.2330576408471432E-3"/>
  </r>
  <r>
    <s v="FOLHA-ADM"/>
    <x v="2"/>
    <x v="1"/>
    <n v="2025"/>
    <n v="102"/>
    <x v="192"/>
    <x v="2"/>
    <x v="4"/>
    <n v="650.83000000000004"/>
    <n v="650.83000000000004"/>
    <n v="0"/>
    <n v="52.06"/>
    <n v="213"/>
    <n v="0"/>
    <n v="0"/>
    <n v="0"/>
    <n v="915.89"/>
    <n v="30.49"/>
    <n v="2637808.56"/>
    <n v="3.4721625135677021E-4"/>
  </r>
  <r>
    <s v="FOLHA-ADM"/>
    <x v="2"/>
    <x v="1"/>
    <n v="2025"/>
    <n v="101"/>
    <x v="193"/>
    <x v="9"/>
    <x v="18"/>
    <n v="1310.48"/>
    <n v="1026.67"/>
    <n v="0"/>
    <n v="82.13"/>
    <n v="238"/>
    <n v="0"/>
    <n v="0"/>
    <n v="0"/>
    <n v="1630.61"/>
    <n v="59.65"/>
    <n v="2637808.56"/>
    <n v="6.1816843903183031E-4"/>
  </r>
  <r>
    <s v="FOLHA-ADM"/>
    <x v="1"/>
    <x v="1"/>
    <n v="2025"/>
    <n v="1"/>
    <x v="166"/>
    <x v="0"/>
    <x v="22"/>
    <n v="6210.06"/>
    <n v="6210.06"/>
    <n v="0"/>
    <n v="496.8"/>
    <n v="1500"/>
    <n v="80"/>
    <n v="122.84"/>
    <n v="0"/>
    <n v="8409.7000000000007"/>
    <n v="0"/>
    <n v="1849662.93"/>
    <n v="4.5466121765223464E-3"/>
  </r>
  <r>
    <s v="FOLHA-ADM"/>
    <x v="2"/>
    <x v="1"/>
    <n v="2025"/>
    <n v="89"/>
    <x v="167"/>
    <x v="3"/>
    <x v="23"/>
    <n v="4200"/>
    <n v="4200"/>
    <n v="0"/>
    <n v="336"/>
    <n v="906"/>
    <n v="80"/>
    <n v="0"/>
    <n v="0"/>
    <n v="5522"/>
    <n v="0"/>
    <n v="2637808.56"/>
    <n v="2.0934043826137255E-3"/>
  </r>
  <r>
    <s v="FOLHA-ADM"/>
    <x v="0"/>
    <x v="1"/>
    <n v="2025"/>
    <n v="44"/>
    <x v="168"/>
    <x v="3"/>
    <x v="4"/>
    <n v="3181.46"/>
    <n v="3181.46"/>
    <n v="0"/>
    <n v="254.51"/>
    <n v="500"/>
    <n v="80"/>
    <n v="0"/>
    <n v="0"/>
    <n v="4015.97"/>
    <n v="520.92999999999995"/>
    <n v="1477999.27"/>
    <n v="2.7171664299942451E-3"/>
  </r>
  <r>
    <s v="FOLHA-ADM"/>
    <x v="2"/>
    <x v="1"/>
    <n v="2025"/>
    <n v="85"/>
    <x v="169"/>
    <x v="4"/>
    <x v="4"/>
    <n v="3085.77"/>
    <n v="3085.77"/>
    <n v="0"/>
    <n v="246.86"/>
    <n v="806"/>
    <n v="80"/>
    <n v="0"/>
    <n v="0"/>
    <n v="4218.63"/>
    <n v="285.77"/>
    <n v="2637808.56"/>
    <n v="1.5992934680597139E-3"/>
  </r>
  <r>
    <s v="FOLHA-ADM"/>
    <x v="1"/>
    <x v="1"/>
    <n v="2025"/>
    <n v="14"/>
    <x v="170"/>
    <x v="4"/>
    <x v="24"/>
    <n v="4509.25"/>
    <n v="4509.25"/>
    <n v="0"/>
    <n v="360.74"/>
    <n v="706"/>
    <n v="80"/>
    <n v="122.84"/>
    <n v="0"/>
    <n v="5778.83"/>
    <n v="0"/>
    <n v="1849662.93"/>
    <n v="3.1242611322701915E-3"/>
  </r>
  <r>
    <s v="FOLHA-ADM"/>
    <x v="1"/>
    <x v="1"/>
    <n v="2025"/>
    <n v="66"/>
    <x v="171"/>
    <x v="3"/>
    <x v="4"/>
    <n v="2947.93"/>
    <n v="2938.62"/>
    <n v="0"/>
    <n v="235.08"/>
    <n v="500"/>
    <n v="80"/>
    <n v="0"/>
    <n v="306.8"/>
    <n v="4069.81"/>
    <n v="289.33"/>
    <n v="1849662.93"/>
    <n v="2.200298191627812E-3"/>
  </r>
  <r>
    <s v="FOLHA-ADM"/>
    <x v="0"/>
    <x v="1"/>
    <n v="2025"/>
    <n v="80"/>
    <x v="172"/>
    <x v="0"/>
    <x v="20"/>
    <n v="2522.33"/>
    <n v="2516.9899999999998"/>
    <n v="0"/>
    <n v="201.35"/>
    <n v="1300"/>
    <n v="80"/>
    <n v="0"/>
    <n v="0"/>
    <n v="4103.68"/>
    <n v="22.33"/>
    <n v="1477999.27"/>
    <n v="2.7765101670178768E-3"/>
  </r>
  <r>
    <s v="FOLHA-ADM"/>
    <x v="2"/>
    <x v="1"/>
    <n v="2025"/>
    <n v="91"/>
    <x v="173"/>
    <x v="3"/>
    <x v="4"/>
    <n v="3119.68"/>
    <n v="3119.68"/>
    <n v="0"/>
    <n v="249.57"/>
    <n v="500"/>
    <n v="80"/>
    <n v="0"/>
    <n v="0"/>
    <n v="3949.25"/>
    <n v="519.67999999999995"/>
    <n v="2637808.56"/>
    <n v="1.4971708181885648E-3"/>
  </r>
  <r>
    <s v="FOLHA-ADM"/>
    <x v="1"/>
    <x v="1"/>
    <n v="2025"/>
    <n v="3"/>
    <x v="174"/>
    <x v="3"/>
    <x v="4"/>
    <n v="2706.25"/>
    <n v="2706.25"/>
    <n v="0"/>
    <n v="216.5"/>
    <n v="350"/>
    <n v="80"/>
    <n v="122.84"/>
    <n v="0"/>
    <n v="3475.59"/>
    <n v="0"/>
    <n v="1849662.93"/>
    <n v="1.879039658323044E-3"/>
  </r>
  <r>
    <s v="FOLHA-ADM"/>
    <x v="2"/>
    <x v="1"/>
    <n v="2025"/>
    <n v="77"/>
    <x v="175"/>
    <x v="5"/>
    <x v="5"/>
    <n v="2196.83"/>
    <n v="2169.4299999999998"/>
    <n v="0"/>
    <n v="173.55"/>
    <n v="906"/>
    <n v="80"/>
    <n v="122.84"/>
    <n v="0"/>
    <n v="3479.22"/>
    <n v="132.13"/>
    <n v="2637808.56"/>
    <n v="1.318981237971265E-3"/>
  </r>
  <r>
    <s v="FOLHA-ADM"/>
    <x v="0"/>
    <x v="1"/>
    <n v="2025"/>
    <n v="39"/>
    <x v="176"/>
    <x v="2"/>
    <x v="14"/>
    <n v="3210.1"/>
    <n v="0"/>
    <n v="0"/>
    <n v="0"/>
    <n v="0"/>
    <n v="0"/>
    <n v="122.84"/>
    <n v="0"/>
    <n v="3332.94"/>
    <n v="0"/>
    <n v="1477999.27"/>
    <n v="2.2550349432851886E-3"/>
  </r>
  <r>
    <s v="FOLHA-ADM"/>
    <x v="1"/>
    <x v="1"/>
    <n v="2025"/>
    <n v="4"/>
    <x v="177"/>
    <x v="0"/>
    <x v="25"/>
    <n v="4054.18"/>
    <n v="4054.18"/>
    <n v="0"/>
    <n v="324.33"/>
    <n v="706"/>
    <n v="80"/>
    <n v="122.84"/>
    <n v="0"/>
    <n v="5287.35"/>
    <n v="200.5"/>
    <n v="1849662.93"/>
    <n v="2.8585478544461071E-3"/>
  </r>
  <r>
    <s v="FOLHA-ADM"/>
    <x v="1"/>
    <x v="1"/>
    <n v="2025"/>
    <n v="71"/>
    <x v="178"/>
    <x v="2"/>
    <x v="14"/>
    <n v="6202.78"/>
    <n v="3002.02"/>
    <n v="0"/>
    <n v="336.21"/>
    <n v="400"/>
    <n v="80"/>
    <n v="122.84"/>
    <n v="0"/>
    <n v="7141.83"/>
    <n v="207.8"/>
    <n v="1849662.93"/>
    <n v="3.8611521505704832E-3"/>
  </r>
  <r>
    <s v="FOLHA-ADM"/>
    <x v="2"/>
    <x v="1"/>
    <n v="2025"/>
    <n v="93"/>
    <x v="179"/>
    <x v="0"/>
    <x v="26"/>
    <n v="6720"/>
    <n v="6720"/>
    <n v="0"/>
    <n v="537.6"/>
    <n v="2034"/>
    <n v="80"/>
    <n v="737.07"/>
    <n v="0"/>
    <n v="10108.67"/>
    <n v="0"/>
    <n v="2637808.56"/>
    <n v="3.8322227599413058E-3"/>
  </r>
  <r>
    <s v="FOLHA-ADM"/>
    <x v="2"/>
    <x v="1"/>
    <n v="2025"/>
    <n v="82"/>
    <x v="180"/>
    <x v="0"/>
    <x v="0"/>
    <n v="2560.83"/>
    <n v="2560.83"/>
    <n v="0"/>
    <n v="204.86"/>
    <n v="400"/>
    <n v="80"/>
    <n v="0"/>
    <n v="0"/>
    <n v="3245.69"/>
    <n v="239.53"/>
    <n v="2637808.56"/>
    <n v="1.2304494151766647E-3"/>
  </r>
  <r>
    <s v="FOLHA-ADM"/>
    <x v="1"/>
    <x v="1"/>
    <n v="2025"/>
    <n v="87"/>
    <x v="181"/>
    <x v="0"/>
    <x v="0"/>
    <n v="2550.77"/>
    <n v="2550.77"/>
    <n v="0"/>
    <n v="204.06"/>
    <n v="400"/>
    <n v="80"/>
    <n v="0"/>
    <n v="306.8"/>
    <n v="3541.63"/>
    <n v="229.47"/>
    <n v="1849662.93"/>
    <n v="1.9147434608531625E-3"/>
  </r>
  <r>
    <s v="FOLHA-ADM"/>
    <x v="2"/>
    <x v="1"/>
    <n v="2025"/>
    <n v="8"/>
    <x v="182"/>
    <x v="4"/>
    <x v="7"/>
    <n v="2760.85"/>
    <n v="2760.85"/>
    <n v="0"/>
    <n v="220.86"/>
    <n v="706"/>
    <n v="0"/>
    <n v="122.84"/>
    <n v="0"/>
    <n v="3810.55"/>
    <n v="140.41"/>
    <n v="2637808.56"/>
    <n v="1.4445892919537724E-3"/>
  </r>
  <r>
    <s v="FOLHA-ADM"/>
    <x v="1"/>
    <x v="1"/>
    <n v="2025"/>
    <n v="30"/>
    <x v="183"/>
    <x v="9"/>
    <x v="18"/>
    <n v="2414.37"/>
    <n v="2414.37"/>
    <n v="0"/>
    <n v="193.14"/>
    <n v="0"/>
    <n v="0"/>
    <n v="122.84"/>
    <n v="0"/>
    <n v="2730.35"/>
    <n v="0"/>
    <n v="1849662.93"/>
    <n v="1.4761338164462211E-3"/>
  </r>
  <r>
    <s v="FOLHA-ADM"/>
    <x v="1"/>
    <x v="1"/>
    <n v="2025"/>
    <n v="95"/>
    <x v="185"/>
    <x v="3"/>
    <x v="27"/>
    <n v="2113.94"/>
    <n v="2077.39"/>
    <n v="0"/>
    <n v="166.19"/>
    <n v="1070"/>
    <n v="80"/>
    <n v="0"/>
    <n v="0"/>
    <n v="3430.13"/>
    <n v="113.94"/>
    <n v="1849662.93"/>
    <n v="1.8544622073385017E-3"/>
  </r>
  <r>
    <s v="FOLHA-ADM"/>
    <x v="0"/>
    <x v="1"/>
    <n v="2025"/>
    <n v="100"/>
    <x v="186"/>
    <x v="0"/>
    <x v="28"/>
    <n v="1939.33"/>
    <n v="1939.33"/>
    <n v="0"/>
    <n v="155.13999999999999"/>
    <n v="800"/>
    <n v="80"/>
    <n v="122.84"/>
    <n v="0"/>
    <n v="3097.31"/>
    <n v="166.93"/>
    <n v="1477999.27"/>
    <n v="2.0956099660319858E-3"/>
  </r>
  <r>
    <s v="FOLHA-ADM"/>
    <x v="1"/>
    <x v="1"/>
    <n v="2025"/>
    <s v="FORA02"/>
    <x v="187"/>
    <x v="3"/>
    <x v="4"/>
    <n v="2658.6"/>
    <n v="0"/>
    <n v="0"/>
    <n v="0"/>
    <n v="806"/>
    <n v="80"/>
    <n v="0"/>
    <n v="0"/>
    <n v="3544.6"/>
    <n v="0"/>
    <n v="1849662.93"/>
    <n v="1.9163491588167364E-3"/>
  </r>
  <r>
    <s v="FOLHA-ADM"/>
    <x v="1"/>
    <x v="1"/>
    <n v="2025"/>
    <s v="FORA03"/>
    <x v="188"/>
    <x v="9"/>
    <x v="29"/>
    <n v="2329.37"/>
    <n v="0"/>
    <n v="0"/>
    <n v="0"/>
    <n v="706"/>
    <n v="0"/>
    <n v="0"/>
    <n v="0"/>
    <n v="3035.37"/>
    <n v="0"/>
    <n v="1849662.93"/>
    <n v="1.6410395379443539E-3"/>
  </r>
  <r>
    <s v="FOLHA-ADM"/>
    <x v="2"/>
    <x v="1"/>
    <n v="2025"/>
    <n v="98"/>
    <x v="189"/>
    <x v="0"/>
    <x v="20"/>
    <n v="4339.25"/>
    <n v="4339.25"/>
    <n v="0"/>
    <n v="347.14"/>
    <n v="566"/>
    <n v="80"/>
    <n v="122.84"/>
    <n v="0"/>
    <n v="5455.23"/>
    <n v="0"/>
    <n v="2637808.56"/>
    <n v="2.0680917041227586E-3"/>
  </r>
  <r>
    <s v="FOLHA-ADM"/>
    <x v="2"/>
    <x v="1"/>
    <n v="2025"/>
    <n v="97"/>
    <x v="190"/>
    <x v="5"/>
    <x v="30"/>
    <n v="1214.6199999999999"/>
    <n v="131.66999999999999"/>
    <n v="0"/>
    <n v="10.53"/>
    <n v="98"/>
    <n v="0"/>
    <n v="0"/>
    <n v="0"/>
    <n v="1323.15"/>
    <n v="0"/>
    <n v="2637808.56"/>
    <n v="5.0160956335663714E-4"/>
  </r>
  <r>
    <s v="FOLHA-ADM"/>
    <x v="0"/>
    <x v="1"/>
    <n v="2025"/>
    <n v="99"/>
    <x v="191"/>
    <x v="5"/>
    <x v="30"/>
    <n v="2182.7399999999998"/>
    <n v="2180.0500000000002"/>
    <n v="0"/>
    <n v="174.4"/>
    <n v="462"/>
    <n v="80"/>
    <n v="0"/>
    <n v="306.8"/>
    <n v="3205.94"/>
    <n v="207.74"/>
    <n v="1477999.27"/>
    <n v="2.1691079725634772E-3"/>
  </r>
  <r>
    <s v="FOLHA-ADM"/>
    <x v="1"/>
    <x v="2"/>
    <n v="2025"/>
    <n v="90"/>
    <x v="155"/>
    <x v="3"/>
    <x v="19"/>
    <n v="3036.4"/>
    <n v="3036.4"/>
    <n v="0"/>
    <n v="242.91"/>
    <n v="700"/>
    <n v="80"/>
    <m/>
    <m/>
    <n v="4059.31"/>
    <n v="836.4"/>
    <n v="1812293.64"/>
    <n v="2.2398743285332061E-3"/>
  </r>
  <r>
    <s v="FOLHA-ADM"/>
    <x v="2"/>
    <x v="2"/>
    <n v="2025"/>
    <n v="75"/>
    <x v="156"/>
    <x v="4"/>
    <x v="8"/>
    <n v="2832.31"/>
    <n v="2744.88"/>
    <n v="0"/>
    <n v="219.59"/>
    <n v="643"/>
    <n v="80"/>
    <m/>
    <m/>
    <n v="3774.9"/>
    <n v="406.81"/>
    <n v="2559361.83"/>
    <n v="1.4749379926479564E-3"/>
  </r>
  <r>
    <s v="FOLHA-ADM"/>
    <x v="2"/>
    <x v="2"/>
    <n v="2025"/>
    <n v="63"/>
    <x v="157"/>
    <x v="3"/>
    <x v="4"/>
    <n v="5307.43"/>
    <n v="3921.88"/>
    <n v="0"/>
    <n v="313.75"/>
    <m/>
    <m/>
    <n v="122.84"/>
    <m/>
    <n v="5744.02"/>
    <n v="254.9"/>
    <n v="2559361.83"/>
    <n v="2.2443172874856854E-3"/>
  </r>
  <r>
    <s v="FOLHA-ADM"/>
    <x v="0"/>
    <x v="2"/>
    <n v="2025"/>
    <n v="900000"/>
    <x v="158"/>
    <x v="6"/>
    <x v="11"/>
    <n v="2824"/>
    <n v="2824"/>
    <n v="0"/>
    <n v="0"/>
    <m/>
    <m/>
    <m/>
    <m/>
    <n v="2824"/>
    <n v="0"/>
    <n v="1519761.37"/>
    <n v="1.8581864598913973E-3"/>
  </r>
  <r>
    <s v="FOLHA-ADM"/>
    <x v="2"/>
    <x v="2"/>
    <n v="2025"/>
    <n v="88"/>
    <x v="159"/>
    <x v="0"/>
    <x v="20"/>
    <n v="2648.41"/>
    <n v="2648.41"/>
    <n v="0"/>
    <n v="211.87"/>
    <n v="1301"/>
    <m/>
    <n v="122.84"/>
    <m/>
    <n v="4284.12"/>
    <n v="148.41"/>
    <n v="2559361.83"/>
    <n v="1.6739016538353231E-3"/>
  </r>
  <r>
    <s v="FOLHA-ADM"/>
    <x v="2"/>
    <x v="2"/>
    <n v="2025"/>
    <n v="84"/>
    <x v="160"/>
    <x v="1"/>
    <x v="21"/>
    <n v="3436.64"/>
    <n v="3436.64"/>
    <n v="0"/>
    <n v="274.93"/>
    <n v="707"/>
    <n v="80"/>
    <m/>
    <m/>
    <n v="4498.57"/>
    <n v="936.64"/>
    <n v="2559361.83"/>
    <n v="1.7576920727930055E-3"/>
  </r>
  <r>
    <s v="FOLHA-ADM"/>
    <x v="0"/>
    <x v="2"/>
    <n v="2025"/>
    <n v="51"/>
    <x v="161"/>
    <x v="3"/>
    <x v="4"/>
    <n v="3680.93"/>
    <n v="3680.93"/>
    <n v="0"/>
    <n v="294.47000000000003"/>
    <n v="807"/>
    <m/>
    <m/>
    <m/>
    <n v="4782.3999999999996"/>
    <n v="970.06"/>
    <n v="1519761.37"/>
    <n v="3.1468098179123997E-3"/>
  </r>
  <r>
    <s v="FOLHA-ADM"/>
    <x v="0"/>
    <x v="2"/>
    <n v="2025"/>
    <n v="104"/>
    <x v="194"/>
    <x v="5"/>
    <x v="30"/>
    <n v="2216.63"/>
    <n v="2216.63"/>
    <n v="0"/>
    <n v="177.33"/>
    <n v="378"/>
    <m/>
    <m/>
    <n v="306.8"/>
    <n v="3078.76"/>
    <n v="373.3"/>
    <n v="1519761.37"/>
    <n v="2.025818040104546E-3"/>
  </r>
  <r>
    <s v="FOLHA-ADM"/>
    <x v="0"/>
    <x v="2"/>
    <n v="2025"/>
    <n v="94"/>
    <x v="162"/>
    <x v="3"/>
    <x v="4"/>
    <n v="3216.6"/>
    <n v="3216.6"/>
    <n v="0"/>
    <n v="257.32"/>
    <n v="500"/>
    <n v="80"/>
    <m/>
    <m/>
    <n v="4053.92"/>
    <n v="558"/>
    <n v="1519761.37"/>
    <n v="2.6674714070406987E-3"/>
  </r>
  <r>
    <s v="FOLHA-ADM"/>
    <x v="2"/>
    <x v="2"/>
    <n v="2025"/>
    <n v="24"/>
    <x v="163"/>
    <x v="0"/>
    <x v="31"/>
    <n v="3565.3"/>
    <n v="3565.3"/>
    <n v="0"/>
    <n v="285.22000000000003"/>
    <n v="707"/>
    <n v="80"/>
    <m/>
    <m/>
    <n v="4637.5200000000004"/>
    <n v="274.14"/>
    <n v="2559361.83"/>
    <n v="1.8119829504529264E-3"/>
  </r>
  <r>
    <s v="FOLHA-ADM"/>
    <x v="0"/>
    <x v="2"/>
    <n v="2025"/>
    <n v="92"/>
    <x v="164"/>
    <x v="2"/>
    <x v="14"/>
    <n v="3137.61"/>
    <n v="3137.61"/>
    <n v="0"/>
    <n v="251"/>
    <n v="700"/>
    <n v="80"/>
    <m/>
    <n v="306.8"/>
    <n v="4475.41"/>
    <n v="816.31"/>
    <n v="1519761.37"/>
    <n v="2.9448110001637951E-3"/>
  </r>
  <r>
    <s v="FOLHA-ADM"/>
    <x v="2"/>
    <x v="2"/>
    <n v="2025"/>
    <n v="86"/>
    <x v="165"/>
    <x v="2"/>
    <x v="14"/>
    <n v="2615.2600000000002"/>
    <n v="2553.2199999999998"/>
    <n v="0"/>
    <n v="204.25"/>
    <n v="600"/>
    <m/>
    <m/>
    <m/>
    <n v="3419.51"/>
    <n v="293.95999999999998"/>
    <n v="2559361.83"/>
    <n v="1.3360791584517773E-3"/>
  </r>
  <r>
    <s v="FOLHA-ADM"/>
    <x v="2"/>
    <x v="2"/>
    <n v="2025"/>
    <n v="102"/>
    <x v="192"/>
    <x v="2"/>
    <x v="4"/>
    <n v="3022.34"/>
    <n v="3022.34"/>
    <n v="0"/>
    <n v="241.78"/>
    <n v="907"/>
    <n v="80"/>
    <m/>
    <m/>
    <n v="4251.12"/>
    <n v="363.74"/>
    <n v="2559361.83"/>
    <n v="1.6610078145925932E-3"/>
  </r>
  <r>
    <s v="FOLHA-ADM"/>
    <x v="2"/>
    <x v="2"/>
    <n v="2025"/>
    <n v="101"/>
    <x v="193"/>
    <x v="9"/>
    <x v="18"/>
    <n v="1787.22"/>
    <n v="568.66"/>
    <n v="0"/>
    <n v="45.48"/>
    <n v="308"/>
    <m/>
    <m/>
    <m/>
    <n v="2140.6999999999998"/>
    <n v="4.0999999999999996"/>
    <n v="2559361.83"/>
    <n v="8.3641944445190066E-4"/>
  </r>
  <r>
    <s v="FOLHA-ADM"/>
    <x v="1"/>
    <x v="2"/>
    <n v="2025"/>
    <n v="1"/>
    <x v="166"/>
    <x v="0"/>
    <x v="22"/>
    <n v="6210.06"/>
    <n v="6210.06"/>
    <n v="0"/>
    <n v="496.8"/>
    <n v="1500"/>
    <n v="80"/>
    <n v="122.84"/>
    <m/>
    <n v="8409.7000000000007"/>
    <n v="0"/>
    <n v="1812293.64"/>
    <n v="4.6403628056654227E-3"/>
  </r>
  <r>
    <s v="FOLHA-ADM"/>
    <x v="2"/>
    <x v="2"/>
    <n v="2025"/>
    <n v="89"/>
    <x v="167"/>
    <x v="3"/>
    <x v="23"/>
    <n v="4200"/>
    <n v="4200"/>
    <n v="0"/>
    <n v="336"/>
    <n v="907"/>
    <n v="80"/>
    <m/>
    <m/>
    <n v="5523"/>
    <n v="0"/>
    <n v="2559361.83"/>
    <n v="2.157959822351496E-3"/>
  </r>
  <r>
    <s v="FOLHA-ADM"/>
    <x v="0"/>
    <x v="2"/>
    <n v="2025"/>
    <n v="44"/>
    <x v="168"/>
    <x v="3"/>
    <x v="4"/>
    <n v="6337.52"/>
    <n v="3676.99"/>
    <n v="0"/>
    <n v="294.14999999999998"/>
    <n v="500"/>
    <n v="80"/>
    <m/>
    <m/>
    <n v="7211.67"/>
    <n v="0"/>
    <n v="1519761.37"/>
    <n v="4.7452647121830711E-3"/>
  </r>
  <r>
    <s v="FOLHA-ADM"/>
    <x v="2"/>
    <x v="2"/>
    <n v="2025"/>
    <n v="85"/>
    <x v="169"/>
    <x v="4"/>
    <x v="4"/>
    <n v="3570.78"/>
    <n v="3555.89"/>
    <n v="0"/>
    <n v="284.47000000000003"/>
    <n v="808"/>
    <n v="80"/>
    <m/>
    <m/>
    <n v="4743.25"/>
    <n v="770.78"/>
    <n v="2559361.83"/>
    <n v="1.8532940299418313E-3"/>
  </r>
  <r>
    <s v="FOLHA-ADM"/>
    <x v="1"/>
    <x v="2"/>
    <n v="2025"/>
    <n v="14"/>
    <x v="170"/>
    <x v="4"/>
    <x v="24"/>
    <n v="4884.8500000000004"/>
    <n v="4884.8500000000004"/>
    <n v="0"/>
    <n v="390.78"/>
    <n v="1007"/>
    <n v="80"/>
    <n v="122.84"/>
    <m/>
    <n v="6485.47"/>
    <n v="375.6"/>
    <n v="1812293.64"/>
    <n v="3.5785977817590314E-3"/>
  </r>
  <r>
    <s v="FOLHA-ADM"/>
    <x v="1"/>
    <x v="2"/>
    <n v="2025"/>
    <n v="66"/>
    <x v="171"/>
    <x v="3"/>
    <x v="4"/>
    <n v="2816.43"/>
    <n v="2816.43"/>
    <n v="0"/>
    <n v="225.31"/>
    <n v="500"/>
    <n v="80"/>
    <m/>
    <n v="306.8"/>
    <n v="3928.54"/>
    <n v="157.83000000000001"/>
    <n v="1812293.64"/>
    <n v="2.1677171476472213E-3"/>
  </r>
  <r>
    <s v="FOLHA-ADM"/>
    <x v="0"/>
    <x v="2"/>
    <n v="2025"/>
    <n v="80"/>
    <x v="172"/>
    <x v="0"/>
    <x v="20"/>
    <n v="2518.19"/>
    <n v="2506.0300000000002"/>
    <n v="0"/>
    <n v="200.48"/>
    <n v="1301"/>
    <m/>
    <m/>
    <m/>
    <n v="4019.67"/>
    <n v="18.190000000000001"/>
    <n v="1519761.37"/>
    <n v="2.6449349742321722E-3"/>
  </r>
  <r>
    <s v="FOLHA-ADM"/>
    <x v="2"/>
    <x v="2"/>
    <n v="2025"/>
    <n v="103"/>
    <x v="195"/>
    <x v="4"/>
    <x v="4"/>
    <n v="3430"/>
    <n v="3408.62"/>
    <n v="0"/>
    <n v="272.68"/>
    <n v="700"/>
    <n v="80"/>
    <m/>
    <m/>
    <n v="4482.68"/>
    <n v="630"/>
    <n v="2559361.83"/>
    <n v="1.7514834938364304E-3"/>
  </r>
  <r>
    <s v="FOLHA-ADM"/>
    <x v="2"/>
    <x v="2"/>
    <n v="2025"/>
    <n v="91"/>
    <x v="173"/>
    <x v="3"/>
    <x v="4"/>
    <n v="3123.55"/>
    <n v="3123.55"/>
    <n v="0"/>
    <n v="249.88"/>
    <n v="500"/>
    <n v="80"/>
    <m/>
    <m/>
    <n v="3953.43"/>
    <n v="464.95"/>
    <n v="2559361.83"/>
    <n v="1.5446936629511271E-3"/>
  </r>
  <r>
    <s v="FOLHA-ADM"/>
    <x v="1"/>
    <x v="2"/>
    <n v="2025"/>
    <n v="3"/>
    <x v="174"/>
    <x v="3"/>
    <x v="4"/>
    <n v="2706.25"/>
    <n v="2706.25"/>
    <n v="0"/>
    <n v="216.5"/>
    <n v="322"/>
    <n v="80"/>
    <n v="122.84"/>
    <m/>
    <n v="3447.59"/>
    <n v="0"/>
    <n v="1812293.64"/>
    <n v="1.9023352087689279E-3"/>
  </r>
  <r>
    <s v="FOLHA-ADM"/>
    <x v="2"/>
    <x v="2"/>
    <n v="2025"/>
    <n v="77"/>
    <x v="175"/>
    <x v="5"/>
    <x v="5"/>
    <n v="2519.64"/>
    <n v="2519.64"/>
    <n v="0"/>
    <n v="201.57"/>
    <n v="907"/>
    <m/>
    <n v="122.84"/>
    <m/>
    <n v="3751.05"/>
    <n v="454.94"/>
    <n v="2559361.83"/>
    <n v="1.4656192633770741E-3"/>
  </r>
  <r>
    <s v="FOLHA-ADM"/>
    <x v="0"/>
    <x v="2"/>
    <n v="2025"/>
    <n v="39"/>
    <x v="176"/>
    <x v="2"/>
    <x v="14"/>
    <n v="3332.94"/>
    <n v="0"/>
    <n v="0"/>
    <n v="0"/>
    <m/>
    <m/>
    <n v="122.84"/>
    <m/>
    <n v="3455.78"/>
    <n v="0"/>
    <n v="1519761.37"/>
    <n v="2.2738964604686589E-3"/>
  </r>
  <r>
    <s v="FOLHA-ADM"/>
    <x v="1"/>
    <x v="2"/>
    <n v="2025"/>
    <n v="4"/>
    <x v="177"/>
    <x v="0"/>
    <x v="25"/>
    <n v="4063.88"/>
    <n v="4063.88"/>
    <n v="0"/>
    <n v="325.11"/>
    <n v="707"/>
    <n v="80"/>
    <n v="122.84"/>
    <m/>
    <n v="5298.83"/>
    <n v="210.2"/>
    <n v="1812293.64"/>
    <n v="2.9238253023941528E-3"/>
  </r>
  <r>
    <s v="FOLHA-ADM"/>
    <x v="0"/>
    <x v="2"/>
    <n v="2025"/>
    <n v="105"/>
    <x v="196"/>
    <x v="2"/>
    <x v="14"/>
    <n v="2501.16"/>
    <n v="2501.16"/>
    <n v="0"/>
    <n v="200.09"/>
    <n v="340"/>
    <m/>
    <m/>
    <m/>
    <n v="3041.25"/>
    <n v="644.12"/>
    <n v="1519761.37"/>
    <n v="2.0011365336914701E-3"/>
  </r>
  <r>
    <s v="FOLHA-ADM"/>
    <x v="2"/>
    <x v="2"/>
    <n v="2025"/>
    <n v="93"/>
    <x v="179"/>
    <x v="0"/>
    <x v="26"/>
    <n v="6720"/>
    <n v="6720"/>
    <n v="0"/>
    <n v="537.6"/>
    <n v="2035"/>
    <n v="80"/>
    <n v="737.07"/>
    <m/>
    <n v="10109.67"/>
    <n v="0"/>
    <n v="2559361.83"/>
    <n v="3.9500745386985784E-3"/>
  </r>
  <r>
    <s v="FOLHA-ADM"/>
    <x v="2"/>
    <x v="2"/>
    <n v="2025"/>
    <n v="82"/>
    <x v="180"/>
    <x v="0"/>
    <x v="0"/>
    <n v="2542.46"/>
    <n v="2538.98"/>
    <n v="0"/>
    <n v="203.11"/>
    <n v="400"/>
    <n v="80"/>
    <m/>
    <m/>
    <n v="3225.57"/>
    <n v="221.16"/>
    <n v="2559361.83"/>
    <n v="1.2603024559446523E-3"/>
  </r>
  <r>
    <s v="FOLHA-ADM"/>
    <x v="1"/>
    <x v="2"/>
    <n v="2025"/>
    <n v="87"/>
    <x v="181"/>
    <x v="0"/>
    <x v="0"/>
    <n v="2695.24"/>
    <n v="2695.24"/>
    <n v="0"/>
    <n v="215.61"/>
    <n v="400"/>
    <n v="80"/>
    <n v="122.84"/>
    <n v="305.39999999999998"/>
    <n v="3819.09"/>
    <n v="373.94"/>
    <n v="1812293.64"/>
    <n v="2.1073240647691066E-3"/>
  </r>
  <r>
    <s v="FOLHA-ADM"/>
    <x v="2"/>
    <x v="2"/>
    <n v="2025"/>
    <n v="8"/>
    <x v="182"/>
    <x v="4"/>
    <x v="7"/>
    <n v="3011.73"/>
    <n v="2772.06"/>
    <n v="0"/>
    <n v="221.76"/>
    <n v="707"/>
    <n v="80"/>
    <n v="122.84"/>
    <m/>
    <n v="4143.33"/>
    <n v="512.36"/>
    <n v="2559361.83"/>
    <n v="1.6188918469570205E-3"/>
  </r>
  <r>
    <s v="FOLHA-ADM"/>
    <x v="1"/>
    <x v="2"/>
    <n v="2025"/>
    <n v="30"/>
    <x v="183"/>
    <x v="9"/>
    <x v="18"/>
    <n v="2414.37"/>
    <n v="2414.37"/>
    <n v="0"/>
    <n v="193.14"/>
    <m/>
    <m/>
    <n v="122.84"/>
    <m/>
    <n v="2730.35"/>
    <n v="0"/>
    <n v="1812293.64"/>
    <n v="1.5065715288831451E-3"/>
  </r>
  <r>
    <s v="FOLHA-ADM"/>
    <x v="1"/>
    <x v="2"/>
    <n v="2025"/>
    <n v="95"/>
    <x v="185"/>
    <x v="3"/>
    <x v="27"/>
    <n v="2419.09"/>
    <n v="2406.8200000000002"/>
    <n v="0"/>
    <n v="192.54"/>
    <n v="1071"/>
    <n v="80"/>
    <m/>
    <m/>
    <n v="3762.63"/>
    <n v="419.09"/>
    <n v="1812293.64"/>
    <n v="2.0761701729527676E-3"/>
  </r>
  <r>
    <s v="FOLHA-ADM"/>
    <x v="0"/>
    <x v="2"/>
    <n v="2025"/>
    <n v="100"/>
    <x v="186"/>
    <x v="0"/>
    <x v="28"/>
    <n v="3013.4"/>
    <n v="3013.4"/>
    <n v="0"/>
    <n v="241.07"/>
    <n v="800"/>
    <m/>
    <n v="122.84"/>
    <m/>
    <n v="4177.3100000000004"/>
    <n v="354.8"/>
    <n v="1519761.37"/>
    <n v="2.7486617849748346E-3"/>
  </r>
  <r>
    <s v="FOLHA-ADM"/>
    <x v="1"/>
    <x v="2"/>
    <n v="2025"/>
    <s v="FORA02"/>
    <x v="187"/>
    <x v="3"/>
    <x v="4"/>
    <n v="2658.6"/>
    <m/>
    <n v="0"/>
    <m/>
    <n v="807"/>
    <n v="80"/>
    <m/>
    <m/>
    <n v="3545.6"/>
    <m/>
    <n v="1812293.64"/>
    <n v="1.9564158488135511E-3"/>
  </r>
  <r>
    <s v="FOLHA-ADM"/>
    <x v="1"/>
    <x v="2"/>
    <n v="2025"/>
    <s v="FORA03"/>
    <x v="188"/>
    <x v="9"/>
    <x v="29"/>
    <n v="2329.37"/>
    <m/>
    <n v="0"/>
    <m/>
    <n v="707"/>
    <m/>
    <m/>
    <m/>
    <n v="3036.37"/>
    <m/>
    <n v="1812293.64"/>
    <n v="1.6754293746790393E-3"/>
  </r>
  <r>
    <s v="FOLHA-ADM"/>
    <x v="2"/>
    <x v="2"/>
    <n v="2025"/>
    <n v="98"/>
    <x v="189"/>
    <x v="0"/>
    <x v="20"/>
    <n v="4339.25"/>
    <n v="4339.25"/>
    <n v="0"/>
    <n v="347.14"/>
    <n v="873"/>
    <n v="80"/>
    <n v="122.84"/>
    <m/>
    <n v="5762.23"/>
    <n v="0"/>
    <n v="2559361.83"/>
    <n v="2.2514323424132647E-3"/>
  </r>
  <r>
    <s v="FOLHA-ADM"/>
    <x v="0"/>
    <x v="2"/>
    <n v="2025"/>
    <n v="99"/>
    <x v="191"/>
    <x v="5"/>
    <x v="30"/>
    <n v="2155.8000000000002"/>
    <n v="2115.2199999999998"/>
    <n v="0"/>
    <n v="169.21"/>
    <n v="322"/>
    <m/>
    <m/>
    <n v="306.8"/>
    <n v="2953.81"/>
    <n v="180.8"/>
    <n v="1519761.37"/>
    <n v="1.9436011852308104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B430B-E96F-4AEE-8542-32CA10806CC9}" name="Tabela dinâmica5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1">
  <location ref="AI3:AL7" firstHeaderRow="0" firstDataRow="1" firstDataCol="1"/>
  <pivotFields count="9">
    <pivotField axis="axisRow"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dataField="1" numFmtId="44" showAll="0"/>
    <pivotField dataField="1" showAll="0"/>
    <pivotField numFmtId="44" showAll="0"/>
    <pivotField dataField="1" numFmtId="44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IDADE" fld="5" baseField="3" baseItem="0"/>
    <dataField name="VENDA DO SETOR" fld="4" baseField="3" baseItem="0" numFmtId="44"/>
    <dataField name="VENDA POR FUNCIONÁRIO " fld="7" baseField="3" baseItem="0" numFmtId="44"/>
  </dataFields>
  <chartFormats count="6">
    <chartFormat chart="57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7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5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57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85393-C846-437D-8AEA-A0B957F92CDF}" name="Tabela dinâmica1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9">
  <location ref="AN3:AO7" firstHeaderRow="1" firstDataRow="1" firstDataCol="1"/>
  <pivotFields count="9">
    <pivotField axis="axisRow" showAll="0">
      <items count="4">
        <item x="2"/>
        <item x="0"/>
        <item x="1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numFmtId="44" showAll="0"/>
    <pivotField showAll="0"/>
    <pivotField numFmtId="44" showAll="0"/>
    <pivotField numFmtId="44" showAll="0"/>
    <pivotField dataField="1"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%" fld="8" baseField="0" baseItem="0" numFmtId="10"/>
  </dataFields>
  <chartFormats count="3">
    <chartFormat chart="7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EAA50-2DB5-43BB-80C0-CBFBF9257FAB}" name="Tabela dinâmica5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L1:R2" firstHeaderRow="0" firstDataRow="1" firstDataCol="0"/>
  <pivotFields count="20">
    <pivotField showAll="0"/>
    <pivotField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dataField="1" numFmtId="44" showAll="0"/>
    <pivotField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dataField="1" numFmtId="44" showAll="0"/>
    <pivotField numFmtId="44" showAll="0"/>
    <pivotField numFmtId="44" showAll="0"/>
    <pivotField numFmtId="44" showAll="0"/>
    <pivotField numFmtId="10" showAll="0"/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ALÁRIOS" fld="8" baseField="1" baseItem="0" numFmtId="44"/>
    <dataField name="ENCARGOS" fld="10" baseField="1" baseItem="0" numFmtId="44"/>
    <dataField name="PICPAY BENEFICIOS " fld="12" baseField="1" baseItem="0" numFmtId="44"/>
    <dataField name="FGTS " fld="11" baseField="1" baseItem="0" numFmtId="44"/>
    <dataField name="VALE TRANSPORTE " fld="15" baseField="1" baseItem="0" numFmtId="44"/>
    <dataField name="PICPAY ASSIDUIDADE " fld="13" baseField="1" baseItem="0" numFmtId="44"/>
    <dataField name="PLANO DE SAÚDE " fld="14" baseField="0" baseItem="0" numFmtId="44"/>
  </dataFields>
  <formats count="16">
    <format dxfId="3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2">
      <pivotArea outline="0" collapsedLevelsAreSubtotals="1" fieldPosition="0"/>
    </format>
    <format dxfId="31">
      <pivotArea type="all" dataOnly="0" outline="0" fieldPosition="0"/>
    </format>
    <format dxfId="3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9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8">
      <pivotArea outline="0" collapsedLevelsAreSubtotals="1" fieldPosition="0"/>
    </format>
  </formats>
  <chartFormats count="7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2234EC-E8B8-4F2A-89F5-98F14BB5DF7F}" name="Tabela dinâmica6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W1:X176" firstHeaderRow="1" firstDataRow="1" firstDataCol="1"/>
  <pivotFields count="20">
    <pivotField showAll="0"/>
    <pivotField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axis="axisRow" showAll="0" sortType="descending">
      <items count="198">
        <item x="89"/>
        <item x="137"/>
        <item x="141"/>
        <item x="155"/>
        <item x="156"/>
        <item x="90"/>
        <item x="157"/>
        <item x="158"/>
        <item x="187"/>
        <item x="0"/>
        <item x="91"/>
        <item x="1"/>
        <item x="2"/>
        <item x="92"/>
        <item x="93"/>
        <item x="94"/>
        <item x="95"/>
        <item x="40"/>
        <item x="41"/>
        <item x="3"/>
        <item x="42"/>
        <item x="159"/>
        <item x="43"/>
        <item x="44"/>
        <item x="45"/>
        <item x="160"/>
        <item x="4"/>
        <item x="5"/>
        <item x="96"/>
        <item x="161"/>
        <item x="6"/>
        <item x="97"/>
        <item x="142"/>
        <item x="188"/>
        <item x="190"/>
        <item x="7"/>
        <item x="8"/>
        <item x="46"/>
        <item x="76"/>
        <item x="162"/>
        <item x="47"/>
        <item x="98"/>
        <item x="163"/>
        <item x="164"/>
        <item x="99"/>
        <item x="48"/>
        <item x="49"/>
        <item x="165"/>
        <item x="77"/>
        <item x="25"/>
        <item x="100"/>
        <item x="101"/>
        <item x="50"/>
        <item x="51"/>
        <item x="102"/>
        <item x="103"/>
        <item x="28"/>
        <item x="52"/>
        <item x="104"/>
        <item x="105"/>
        <item x="9"/>
        <item x="106"/>
        <item x="53"/>
        <item x="166"/>
        <item x="167"/>
        <item x="168"/>
        <item x="107"/>
        <item x="54"/>
        <item x="138"/>
        <item x="108"/>
        <item x="185"/>
        <item x="169"/>
        <item x="55"/>
        <item x="10"/>
        <item x="170"/>
        <item x="109"/>
        <item x="110"/>
        <item x="56"/>
        <item x="57"/>
        <item x="58"/>
        <item x="59"/>
        <item x="60"/>
        <item x="78"/>
        <item x="29"/>
        <item x="111"/>
        <item x="171"/>
        <item x="112"/>
        <item x="11"/>
        <item x="113"/>
        <item x="114"/>
        <item x="61"/>
        <item x="62"/>
        <item x="12"/>
        <item x="172"/>
        <item x="139"/>
        <item x="63"/>
        <item x="140"/>
        <item x="115"/>
        <item x="27"/>
        <item x="64"/>
        <item x="75"/>
        <item x="173"/>
        <item x="65"/>
        <item x="13"/>
        <item x="66"/>
        <item x="14"/>
        <item x="79"/>
        <item x="67"/>
        <item x="26"/>
        <item x="143"/>
        <item x="174"/>
        <item x="116"/>
        <item x="30"/>
        <item x="175"/>
        <item x="15"/>
        <item x="16"/>
        <item x="117"/>
        <item x="189"/>
        <item x="31"/>
        <item x="176"/>
        <item x="118"/>
        <item x="68"/>
        <item x="119"/>
        <item x="177"/>
        <item x="17"/>
        <item x="18"/>
        <item x="69"/>
        <item x="191"/>
        <item x="120"/>
        <item x="121"/>
        <item x="19"/>
        <item x="178"/>
        <item x="70"/>
        <item x="122"/>
        <item x="123"/>
        <item x="186"/>
        <item x="124"/>
        <item x="20"/>
        <item x="21"/>
        <item x="71"/>
        <item x="125"/>
        <item x="22"/>
        <item x="126"/>
        <item x="127"/>
        <item x="128"/>
        <item x="179"/>
        <item x="129"/>
        <item x="180"/>
        <item x="72"/>
        <item x="130"/>
        <item x="184"/>
        <item x="181"/>
        <item x="131"/>
        <item x="132"/>
        <item x="133"/>
        <item x="182"/>
        <item x="134"/>
        <item x="135"/>
        <item x="183"/>
        <item x="23"/>
        <item x="24"/>
        <item x="73"/>
        <item x="136"/>
        <item x="74"/>
        <item x="32"/>
        <item x="33"/>
        <item x="34"/>
        <item x="80"/>
        <item x="81"/>
        <item x="82"/>
        <item x="83"/>
        <item x="84"/>
        <item x="144"/>
        <item x="145"/>
        <item x="146"/>
        <item x="147"/>
        <item x="148"/>
        <item x="192"/>
        <item x="193"/>
        <item x="35"/>
        <item x="36"/>
        <item x="37"/>
        <item x="38"/>
        <item x="39"/>
        <item x="85"/>
        <item x="86"/>
        <item x="87"/>
        <item x="88"/>
        <item x="149"/>
        <item x="150"/>
        <item x="151"/>
        <item x="152"/>
        <item x="153"/>
        <item x="154"/>
        <item x="194"/>
        <item x="195"/>
        <item x="19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10" showAll="0"/>
  </pivotFields>
  <rowFields count="1">
    <field x="5"/>
  </rowFields>
  <rowItems count="175">
    <i>
      <x v="29"/>
    </i>
    <i>
      <x v="25"/>
    </i>
    <i>
      <x v="3"/>
    </i>
    <i>
      <x v="43"/>
    </i>
    <i>
      <x v="122"/>
    </i>
    <i>
      <x v="37"/>
    </i>
    <i>
      <x v="71"/>
    </i>
    <i>
      <x v="97"/>
    </i>
    <i>
      <x v="196"/>
    </i>
    <i>
      <x v="53"/>
    </i>
    <i>
      <x v="102"/>
    </i>
    <i>
      <x v="195"/>
    </i>
    <i>
      <x v="90"/>
    </i>
    <i>
      <x v="13"/>
    </i>
    <i>
      <x v="10"/>
    </i>
    <i>
      <x v="75"/>
    </i>
    <i>
      <x v="39"/>
    </i>
    <i>
      <x v="112"/>
    </i>
    <i>
      <x v="46"/>
    </i>
    <i>
      <x v="149"/>
    </i>
    <i>
      <x v="155"/>
    </i>
    <i>
      <x v="11"/>
    </i>
    <i>
      <x v="30"/>
    </i>
    <i>
      <x v="161"/>
    </i>
    <i>
      <x v="99"/>
    </i>
    <i>
      <x v="101"/>
    </i>
    <i>
      <x v="113"/>
    </i>
    <i>
      <x v="124"/>
    </i>
    <i>
      <x v="38"/>
    </i>
    <i>
      <x v="32"/>
    </i>
    <i>
      <x v="70"/>
    </i>
    <i>
      <x v="125"/>
    </i>
    <i>
      <x v="190"/>
    </i>
    <i>
      <x v="44"/>
    </i>
    <i>
      <x v="152"/>
    </i>
    <i>
      <x v="4"/>
    </i>
    <i>
      <x v="159"/>
    </i>
    <i>
      <x v="173"/>
    </i>
    <i>
      <x v="17"/>
    </i>
    <i>
      <x v="76"/>
    </i>
    <i>
      <x v="74"/>
    </i>
    <i>
      <x v="151"/>
    </i>
    <i>
      <x v="194"/>
    </i>
    <i>
      <x v="19"/>
    </i>
    <i>
      <x v="186"/>
    </i>
    <i>
      <x v="16"/>
    </i>
    <i>
      <x v="177"/>
    </i>
    <i>
      <x v="135"/>
    </i>
    <i>
      <x v="103"/>
    </i>
    <i>
      <x v="100"/>
    </i>
    <i>
      <x v="72"/>
    </i>
    <i>
      <x v="183"/>
    </i>
    <i>
      <x v="79"/>
    </i>
    <i>
      <x v="96"/>
    </i>
    <i>
      <x v="18"/>
    </i>
    <i>
      <x v="116"/>
    </i>
    <i>
      <x v="156"/>
    </i>
    <i>
      <x v="134"/>
    </i>
    <i>
      <x v="105"/>
    </i>
    <i>
      <x v="54"/>
    </i>
    <i>
      <x v="69"/>
    </i>
    <i>
      <x v="47"/>
    </i>
    <i>
      <x v="144"/>
    </i>
    <i>
      <x v="57"/>
    </i>
    <i>
      <x v="51"/>
    </i>
    <i>
      <x v="141"/>
    </i>
    <i>
      <x v="42"/>
    </i>
    <i>
      <x v="166"/>
    </i>
    <i>
      <x v="87"/>
    </i>
    <i>
      <x v="171"/>
    </i>
    <i>
      <x v="181"/>
    </i>
    <i>
      <x v="157"/>
    </i>
    <i>
      <x v="6"/>
    </i>
    <i>
      <x v="172"/>
    </i>
    <i>
      <x v="187"/>
    </i>
    <i>
      <x v="140"/>
    </i>
    <i>
      <x v="128"/>
    </i>
    <i>
      <x v="179"/>
    </i>
    <i>
      <x v="154"/>
    </i>
    <i>
      <x v="45"/>
    </i>
    <i>
      <x v="165"/>
    </i>
    <i>
      <x v="147"/>
    </i>
    <i>
      <x v="23"/>
    </i>
    <i>
      <x v="174"/>
    </i>
    <i>
      <x v="9"/>
    </i>
    <i>
      <x v="118"/>
    </i>
    <i>
      <x v="123"/>
    </i>
    <i>
      <x v="182"/>
    </i>
    <i>
      <x v="170"/>
    </i>
    <i>
      <x v="107"/>
    </i>
    <i>
      <x v="67"/>
    </i>
    <i>
      <x v="169"/>
    </i>
    <i>
      <x v="176"/>
    </i>
    <i>
      <x v="193"/>
    </i>
    <i>
      <x v="15"/>
    </i>
    <i>
      <x v="95"/>
    </i>
    <i>
      <x v="22"/>
    </i>
    <i>
      <x v="78"/>
    </i>
    <i>
      <x v="175"/>
    </i>
    <i>
      <x v="189"/>
    </i>
    <i>
      <x v="153"/>
    </i>
    <i>
      <x v="73"/>
    </i>
    <i>
      <x v="127"/>
    </i>
    <i>
      <x v="136"/>
    </i>
    <i>
      <x v="104"/>
    </i>
    <i>
      <x v="66"/>
    </i>
    <i>
      <x v="163"/>
    </i>
    <i>
      <x v="31"/>
    </i>
    <i>
      <x v="160"/>
    </i>
    <i>
      <x v="85"/>
    </i>
    <i>
      <x v="88"/>
    </i>
    <i>
      <x v="120"/>
    </i>
    <i>
      <x v="21"/>
    </i>
    <i>
      <x v="126"/>
    </i>
    <i>
      <x v="41"/>
    </i>
    <i>
      <x v="5"/>
    </i>
    <i>
      <x v="61"/>
    </i>
    <i>
      <x v="86"/>
    </i>
    <i>
      <x v="168"/>
    </i>
    <i>
      <x v="28"/>
    </i>
    <i>
      <x v="188"/>
    </i>
    <i>
      <x v="48"/>
    </i>
    <i>
      <x v="185"/>
    </i>
    <i>
      <x v="137"/>
    </i>
    <i>
      <x v="62"/>
    </i>
    <i>
      <x v="93"/>
    </i>
    <i>
      <x v="50"/>
    </i>
    <i>
      <x v="184"/>
    </i>
    <i>
      <x v="40"/>
    </i>
    <i>
      <x v="167"/>
    </i>
    <i>
      <x v="180"/>
    </i>
    <i>
      <x v="192"/>
    </i>
    <i>
      <x v="146"/>
    </i>
    <i>
      <x v="178"/>
    </i>
    <i>
      <x v="58"/>
    </i>
    <i>
      <x v="63"/>
    </i>
    <i>
      <x v="49"/>
    </i>
    <i>
      <x v="65"/>
    </i>
    <i>
      <x v="84"/>
    </i>
    <i>
      <x v="83"/>
    </i>
    <i>
      <x v="68"/>
    </i>
    <i>
      <x v="121"/>
    </i>
    <i>
      <x v="129"/>
    </i>
    <i>
      <x v="64"/>
    </i>
    <i>
      <x v="145"/>
    </i>
    <i>
      <x v="35"/>
    </i>
    <i>
      <x v="143"/>
    </i>
    <i>
      <x v="36"/>
    </i>
    <i>
      <x v="115"/>
    </i>
    <i>
      <x v="94"/>
    </i>
    <i>
      <x v="56"/>
    </i>
    <i>
      <x v="12"/>
    </i>
    <i>
      <x v="139"/>
    </i>
    <i>
      <x v="117"/>
    </i>
    <i>
      <x v="148"/>
    </i>
    <i>
      <x v="106"/>
    </i>
    <i>
      <x v="7"/>
    </i>
    <i>
      <x v="81"/>
    </i>
    <i>
      <x v="130"/>
    </i>
    <i>
      <x v="82"/>
    </i>
    <i>
      <x v="133"/>
    </i>
    <i>
      <x v="8"/>
    </i>
    <i>
      <x v="89"/>
    </i>
    <i>
      <x v="158"/>
    </i>
    <i>
      <x v="33"/>
    </i>
    <i>
      <x v="110"/>
    </i>
    <i>
      <x v="191"/>
    </i>
    <i>
      <x v="138"/>
    </i>
    <i>
      <x v="20"/>
    </i>
    <i>
      <x v="27"/>
    </i>
    <i>
      <x v="164"/>
    </i>
    <i>
      <x v="162"/>
    </i>
    <i>
      <x v="119"/>
    </i>
    <i>
      <x v="108"/>
    </i>
    <i t="grand">
      <x/>
    </i>
  </rowItems>
  <colItems count="1">
    <i/>
  </colItems>
  <dataFields count="1">
    <dataField name="Soma de HORAS EXTRAS" fld="17" baseField="0" baseItem="0" numFmtId="44"/>
  </dataFields>
  <formats count="2">
    <format dxfId="35">
      <pivotArea dataOnly="0" labelOnly="1" outline="0" axis="axisValues" fieldPosition="0"/>
    </format>
    <format dxfId="34">
      <pivotArea grandRow="1" outline="0" collapsedLevelsAreSubtotals="1" fieldPosition="0"/>
    </format>
  </format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5392A-EE88-4692-8503-EFB5415C6C05}" name="Tabela dinâmica2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E1:F5" firstHeaderRow="1" firstDataRow="1" firstDataCol="1"/>
  <pivotFields count="20">
    <pivotField showAll="0"/>
    <pivotField axis="axisRow"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1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%S/F" fld="19" baseField="0" baseItem="0" numFmtId="10"/>
  </dataFields>
  <formats count="6"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1" type="button" dataOnly="0" labelOnly="1" outline="0" axis="axisRow" fieldPosition="0"/>
    </format>
    <format dxfId="38">
      <pivotArea dataOnly="0" labelOnly="1" fieldPosition="0">
        <references count="1">
          <reference field="1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</formats>
  <chartFormats count="4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BC20DD-693C-4846-A808-D409A0F589FC}" name="Tabela dinâmica7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Z1:Z2" firstHeaderRow="1" firstDataRow="1" firstDataCol="0"/>
  <pivotFields count="20">
    <pivotField showAll="0"/>
    <pivotField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10" showAll="0"/>
  </pivotFields>
  <rowItems count="1">
    <i/>
  </rowItems>
  <colItems count="1">
    <i/>
  </colItems>
  <dataFields count="1">
    <dataField name="HORAS EXTRAS " fld="17" baseField="0" baseItem="0" numFmtId="44"/>
  </dataFields>
  <formats count="15">
    <format dxfId="56">
      <pivotArea outline="0" collapsedLevelsAreSubtotals="1" fieldPosition="0"/>
    </format>
    <format dxfId="55">
      <pivotArea type="all" dataOnly="0" outline="0" fieldPosition="0"/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  <format dxfId="43">
      <pivotArea outline="0" collapsedLevelsAreSubtotals="1" fieldPosition="0"/>
    </format>
    <format dxfId="42">
      <pivotArea outline="0" collapsedLevelsAreSubtotals="1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DBA9C3-0D2C-4854-999C-6027706733ED}" name="Tabela dinâmica8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5">
  <location ref="AG1:AH12" firstHeaderRow="1" firstDataRow="1" firstDataCol="1"/>
  <pivotFields count="20">
    <pivotField showAll="0"/>
    <pivotField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axis="axisRow" showAll="0" sortType="descending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0" showAll="0"/>
  </pivotFields>
  <rowFields count="1">
    <field x="6"/>
  </rowFields>
  <rowItems count="11">
    <i>
      <x v="3"/>
    </i>
    <i>
      <x v="5"/>
    </i>
    <i>
      <x/>
    </i>
    <i>
      <x v="6"/>
    </i>
    <i>
      <x v="1"/>
    </i>
    <i>
      <x v="4"/>
    </i>
    <i>
      <x v="7"/>
    </i>
    <i>
      <x v="9"/>
    </i>
    <i>
      <x v="2"/>
    </i>
    <i>
      <x v="8"/>
    </i>
    <i t="grand">
      <x/>
    </i>
  </rowItems>
  <colItems count="1">
    <i/>
  </colItems>
  <dataFields count="1">
    <dataField name="Soma de TOTAL" fld="16" showDataAs="percentOfTotal" baseField="6" baseItem="0" numFmtId="10"/>
  </dataFields>
  <formats count="1">
    <format dxfId="57">
      <pivotArea collapsedLevelsAreSubtotals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9"/>
          </reference>
        </references>
      </pivotArea>
    </format>
  </formats>
  <chartFormats count="12"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9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9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9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9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9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9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19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9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9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EF3968-27E1-451D-B192-BB66BC0269DE}" name="Tabela dinâmica4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AC1:AD5" firstHeaderRow="1" firstDataRow="1" firstDataCol="1"/>
  <pivotFields count="20">
    <pivotField showAll="0"/>
    <pivotField axis="axisRow"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1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%S/F" fld="19" baseField="0" baseItem="0" numFmtId="10"/>
  </dataFields>
  <formats count="6"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1" type="button" dataOnly="0" labelOnly="1" outline="0" axis="axisRow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17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9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9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E8B7B3-67BF-40DE-B122-B06B132A09DC}" name="Tabela dinâmica1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>
  <location ref="A1:C5" firstHeaderRow="0" firstDataRow="1" firstDataCol="1"/>
  <pivotFields count="20">
    <pivotField showAll="0"/>
    <pivotField axis="axisRow" showAll="0">
      <items count="4">
        <item x="1"/>
        <item x="0"/>
        <item x="2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dataField="1"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0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PROVENTOS " fld="8" baseField="1" baseItem="0" numFmtId="165"/>
    <dataField name="DESPESA TOTAL" fld="16" baseField="1" baseItem="0" numFmtId="165"/>
  </dataFields>
  <formats count="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0"/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7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443A11-71CA-4A77-B374-29BF613F4929}" name="Tabela dinâmica3" cacheId="7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H1:I179" firstHeaderRow="1" firstDataRow="1" firstDataCol="1"/>
  <pivotFields count="20">
    <pivotField showAll="0"/>
    <pivotField axis="axisRow" showAll="0" sortType="descending">
      <items count="4"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h="1" x="0"/>
        <item h="1" x="1"/>
        <item x="2"/>
        <item t="default"/>
      </items>
    </pivotField>
    <pivotField showAll="0"/>
    <pivotField showAll="0"/>
    <pivotField axis="axisRow" showAll="0" sortType="descending">
      <items count="198">
        <item x="89"/>
        <item x="137"/>
        <item x="141"/>
        <item x="155"/>
        <item x="156"/>
        <item x="90"/>
        <item x="157"/>
        <item x="158"/>
        <item x="187"/>
        <item x="0"/>
        <item x="91"/>
        <item x="1"/>
        <item x="2"/>
        <item x="92"/>
        <item x="93"/>
        <item x="94"/>
        <item x="95"/>
        <item x="40"/>
        <item x="41"/>
        <item x="3"/>
        <item x="42"/>
        <item x="159"/>
        <item x="43"/>
        <item x="44"/>
        <item x="45"/>
        <item x="160"/>
        <item x="4"/>
        <item x="5"/>
        <item x="96"/>
        <item x="161"/>
        <item x="6"/>
        <item x="97"/>
        <item x="142"/>
        <item x="188"/>
        <item x="190"/>
        <item x="7"/>
        <item x="8"/>
        <item x="46"/>
        <item x="76"/>
        <item x="162"/>
        <item x="47"/>
        <item x="98"/>
        <item x="163"/>
        <item x="164"/>
        <item x="99"/>
        <item x="48"/>
        <item x="49"/>
        <item x="165"/>
        <item x="77"/>
        <item x="25"/>
        <item x="100"/>
        <item x="101"/>
        <item x="50"/>
        <item x="51"/>
        <item x="102"/>
        <item x="103"/>
        <item x="28"/>
        <item x="52"/>
        <item x="104"/>
        <item x="105"/>
        <item x="9"/>
        <item x="106"/>
        <item x="53"/>
        <item x="166"/>
        <item x="167"/>
        <item x="168"/>
        <item x="107"/>
        <item x="54"/>
        <item x="138"/>
        <item x="108"/>
        <item x="185"/>
        <item x="169"/>
        <item x="55"/>
        <item x="10"/>
        <item x="170"/>
        <item x="109"/>
        <item x="110"/>
        <item x="56"/>
        <item x="57"/>
        <item x="58"/>
        <item x="59"/>
        <item x="60"/>
        <item x="78"/>
        <item x="29"/>
        <item x="111"/>
        <item x="171"/>
        <item x="112"/>
        <item x="11"/>
        <item x="113"/>
        <item x="114"/>
        <item x="61"/>
        <item x="62"/>
        <item x="12"/>
        <item x="172"/>
        <item x="139"/>
        <item x="63"/>
        <item x="140"/>
        <item x="115"/>
        <item x="27"/>
        <item x="64"/>
        <item x="75"/>
        <item x="173"/>
        <item x="65"/>
        <item x="13"/>
        <item x="66"/>
        <item x="14"/>
        <item x="79"/>
        <item x="67"/>
        <item x="26"/>
        <item x="143"/>
        <item x="174"/>
        <item x="116"/>
        <item x="30"/>
        <item x="175"/>
        <item x="15"/>
        <item x="16"/>
        <item x="117"/>
        <item x="189"/>
        <item x="31"/>
        <item x="176"/>
        <item x="118"/>
        <item x="68"/>
        <item x="119"/>
        <item x="177"/>
        <item x="17"/>
        <item x="18"/>
        <item x="69"/>
        <item x="191"/>
        <item x="120"/>
        <item x="121"/>
        <item x="19"/>
        <item x="178"/>
        <item x="70"/>
        <item x="122"/>
        <item x="123"/>
        <item x="186"/>
        <item x="124"/>
        <item x="20"/>
        <item x="21"/>
        <item x="71"/>
        <item x="125"/>
        <item x="22"/>
        <item x="126"/>
        <item x="127"/>
        <item x="128"/>
        <item x="179"/>
        <item x="129"/>
        <item x="180"/>
        <item x="72"/>
        <item x="130"/>
        <item x="184"/>
        <item x="181"/>
        <item x="131"/>
        <item x="132"/>
        <item x="133"/>
        <item x="182"/>
        <item x="134"/>
        <item x="135"/>
        <item x="183"/>
        <item x="23"/>
        <item x="24"/>
        <item x="73"/>
        <item x="136"/>
        <item x="74"/>
        <item x="32"/>
        <item x="33"/>
        <item x="34"/>
        <item x="80"/>
        <item x="81"/>
        <item x="82"/>
        <item x="83"/>
        <item x="84"/>
        <item x="144"/>
        <item x="145"/>
        <item x="146"/>
        <item x="147"/>
        <item x="148"/>
        <item x="192"/>
        <item x="193"/>
        <item x="35"/>
        <item x="36"/>
        <item x="37"/>
        <item x="38"/>
        <item x="39"/>
        <item x="85"/>
        <item x="86"/>
        <item x="87"/>
        <item x="88"/>
        <item x="149"/>
        <item x="150"/>
        <item x="151"/>
        <item x="152"/>
        <item x="153"/>
        <item x="154"/>
        <item x="194"/>
        <item x="195"/>
        <item x="19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4"/>
        <item x="0"/>
        <item x="5"/>
        <item x="2"/>
        <item x="7"/>
        <item x="3"/>
        <item x="1"/>
        <item x="8"/>
        <item x="9"/>
        <item x="6"/>
        <item t="default"/>
      </items>
    </pivotField>
    <pivotField showAll="0">
      <items count="33">
        <item x="8"/>
        <item x="25"/>
        <item x="0"/>
        <item x="28"/>
        <item x="15"/>
        <item x="12"/>
        <item x="29"/>
        <item x="27"/>
        <item x="18"/>
        <item x="9"/>
        <item x="1"/>
        <item x="7"/>
        <item x="20"/>
        <item x="21"/>
        <item x="5"/>
        <item x="17"/>
        <item x="16"/>
        <item x="4"/>
        <item x="30"/>
        <item x="14"/>
        <item x="24"/>
        <item x="26"/>
        <item x="23"/>
        <item x="22"/>
        <item x="19"/>
        <item x="2"/>
        <item x="6"/>
        <item x="3"/>
        <item x="13"/>
        <item x="10"/>
        <item x="11"/>
        <item x="31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10" showAll="0"/>
  </pivotFields>
  <rowFields count="2">
    <field x="1"/>
    <field x="5"/>
  </rowFields>
  <rowItems count="178">
    <i>
      <x v="2"/>
    </i>
    <i r="1">
      <x v="143"/>
    </i>
    <i r="1">
      <x v="145"/>
    </i>
    <i r="1">
      <x v="133"/>
    </i>
    <i r="1">
      <x v="89"/>
    </i>
    <i r="1">
      <x v="117"/>
    </i>
    <i r="1">
      <x v="6"/>
    </i>
    <i r="1">
      <x v="64"/>
    </i>
    <i r="1">
      <x v="97"/>
    </i>
    <i r="1">
      <x v="122"/>
    </i>
    <i r="1">
      <x v="149"/>
    </i>
    <i r="1">
      <x v="71"/>
    </i>
    <i r="1">
      <x v="42"/>
    </i>
    <i r="1">
      <x v="75"/>
    </i>
    <i r="1">
      <x v="10"/>
    </i>
    <i r="1">
      <x v="25"/>
    </i>
    <i r="1">
      <x v="44"/>
    </i>
    <i r="1">
      <x v="195"/>
    </i>
    <i r="1">
      <x v="13"/>
    </i>
    <i r="1">
      <x v="129"/>
    </i>
    <i r="1">
      <x v="21"/>
    </i>
    <i r="1">
      <x v="177"/>
    </i>
    <i r="1">
      <x v="146"/>
    </i>
    <i r="1">
      <x v="134"/>
    </i>
    <i r="1">
      <x v="172"/>
    </i>
    <i r="1">
      <x v="155"/>
    </i>
    <i r="1">
      <x v="51"/>
    </i>
    <i r="1">
      <x v="76"/>
    </i>
    <i r="1">
      <x v="96"/>
    </i>
    <i r="1">
      <x v="175"/>
    </i>
    <i r="1">
      <x v="156"/>
    </i>
    <i r="1">
      <x v="61"/>
    </i>
    <i r="1">
      <x v="157"/>
    </i>
    <i r="1">
      <x v="152"/>
    </i>
    <i r="1">
      <x v="101"/>
    </i>
    <i r="1">
      <x v="16"/>
    </i>
    <i r="1">
      <x v="174"/>
    </i>
    <i r="1">
      <x v="116"/>
    </i>
    <i r="1">
      <x v="4"/>
    </i>
    <i r="1">
      <x v="113"/>
    </i>
    <i r="1">
      <x v="128"/>
    </i>
    <i r="1">
      <x v="154"/>
    </i>
    <i r="1">
      <x v="32"/>
    </i>
    <i r="1">
      <x v="66"/>
    </i>
    <i r="1">
      <x v="153"/>
    </i>
    <i r="1">
      <x v="120"/>
    </i>
    <i r="1">
      <x v="173"/>
    </i>
    <i r="1">
      <x v="88"/>
    </i>
    <i r="1">
      <x v="54"/>
    </i>
    <i r="1">
      <x v="5"/>
    </i>
    <i r="1">
      <x v="140"/>
    </i>
    <i r="1">
      <x v="58"/>
    </i>
    <i r="1">
      <x v="47"/>
    </i>
    <i r="1">
      <x v="144"/>
    </i>
    <i r="1">
      <x v="176"/>
    </i>
    <i r="1">
      <x v="31"/>
    </i>
    <i r="1">
      <x v="69"/>
    </i>
    <i r="1">
      <x v="15"/>
    </i>
    <i r="1">
      <x v="41"/>
    </i>
    <i r="1">
      <x v="86"/>
    </i>
    <i r="1">
      <x v="136"/>
    </i>
    <i r="1">
      <x v="147"/>
    </i>
    <i r="1">
      <x v="28"/>
    </i>
    <i r="1">
      <x v="162"/>
    </i>
    <i r="1">
      <x v="188"/>
    </i>
    <i r="1">
      <x v="50"/>
    </i>
    <i r="1">
      <x v="84"/>
    </i>
    <i r="1">
      <x v="178"/>
    </i>
    <i r="1">
      <x v="190"/>
    </i>
    <i r="1">
      <x v="193"/>
    </i>
    <i r="1">
      <x v="191"/>
    </i>
    <i r="1">
      <x v="189"/>
    </i>
    <i r="1">
      <x v="68"/>
    </i>
    <i r="1">
      <x v="94"/>
    </i>
    <i r="1">
      <x v="192"/>
    </i>
    <i>
      <x/>
    </i>
    <i r="1">
      <x v="20"/>
    </i>
    <i r="1">
      <x v="63"/>
    </i>
    <i r="1">
      <x v="74"/>
    </i>
    <i r="1">
      <x v="123"/>
    </i>
    <i r="1">
      <x v="148"/>
    </i>
    <i r="1">
      <x v="90"/>
    </i>
    <i r="1">
      <x v="37"/>
    </i>
    <i r="1">
      <x v="161"/>
    </i>
    <i r="1">
      <x v="38"/>
    </i>
    <i r="1">
      <x v="79"/>
    </i>
    <i r="1">
      <x v="167"/>
    </i>
    <i r="1">
      <x v="45"/>
    </i>
    <i r="1">
      <x v="53"/>
    </i>
    <i r="1">
      <x v="169"/>
    </i>
    <i r="1">
      <x v="99"/>
    </i>
    <i r="1">
      <x v="3"/>
    </i>
    <i r="1">
      <x v="72"/>
    </i>
    <i r="1">
      <x v="107"/>
    </i>
    <i r="1">
      <x v="102"/>
    </i>
    <i r="1">
      <x v="17"/>
    </i>
    <i r="1">
      <x v="85"/>
    </i>
    <i r="1">
      <x v="100"/>
    </i>
    <i r="1">
      <x v="171"/>
    </i>
    <i r="1">
      <x v="40"/>
    </i>
    <i r="1">
      <x v="67"/>
    </i>
    <i r="1">
      <x v="46"/>
    </i>
    <i r="1">
      <x v="151"/>
    </i>
    <i r="1">
      <x v="57"/>
    </i>
    <i r="1">
      <x v="70"/>
    </i>
    <i r="1">
      <x v="163"/>
    </i>
    <i r="1">
      <x v="104"/>
    </i>
    <i r="1">
      <x v="170"/>
    </i>
    <i r="1">
      <x v="8"/>
    </i>
    <i r="1">
      <x v="18"/>
    </i>
    <i r="1">
      <x v="139"/>
    </i>
    <i r="1">
      <x v="48"/>
    </i>
    <i r="1">
      <x v="23"/>
    </i>
    <i r="1">
      <x v="110"/>
    </i>
    <i r="1">
      <x v="78"/>
    </i>
    <i r="1">
      <x v="95"/>
    </i>
    <i r="1">
      <x v="22"/>
    </i>
    <i r="1">
      <x v="126"/>
    </i>
    <i r="1">
      <x v="62"/>
    </i>
    <i r="1">
      <x v="168"/>
    </i>
    <i r="1">
      <x v="33"/>
    </i>
    <i r="1">
      <x v="158"/>
    </i>
    <i r="1">
      <x v="185"/>
    </i>
    <i r="1">
      <x v="121"/>
    </i>
    <i r="1">
      <x v="186"/>
    </i>
    <i r="1">
      <x v="187"/>
    </i>
    <i r="1">
      <x v="106"/>
    </i>
    <i r="1">
      <x v="82"/>
    </i>
    <i r="1">
      <x v="81"/>
    </i>
    <i r="1">
      <x v="184"/>
    </i>
    <i>
      <x v="1"/>
    </i>
    <i r="1">
      <x v="65"/>
    </i>
    <i r="1">
      <x v="130"/>
    </i>
    <i r="1">
      <x v="29"/>
    </i>
    <i r="1">
      <x v="112"/>
    </i>
    <i r="1">
      <x v="137"/>
    </i>
    <i r="1">
      <x v="105"/>
    </i>
    <i r="1">
      <x v="43"/>
    </i>
    <i r="1">
      <x v="30"/>
    </i>
    <i r="1">
      <x v="135"/>
    </i>
    <i r="1">
      <x v="39"/>
    </i>
    <i r="1">
      <x v="124"/>
    </i>
    <i r="1">
      <x v="93"/>
    </i>
    <i r="1">
      <x v="103"/>
    </i>
    <i r="1">
      <x v="125"/>
    </i>
    <i r="1">
      <x v="9"/>
    </i>
    <i r="1">
      <x v="11"/>
    </i>
    <i r="1">
      <x v="19"/>
    </i>
    <i r="1">
      <x v="87"/>
    </i>
    <i r="1">
      <x v="166"/>
    </i>
    <i r="1">
      <x v="159"/>
    </i>
    <i r="1">
      <x v="118"/>
    </i>
    <i r="1">
      <x v="119"/>
    </i>
    <i r="1">
      <x v="179"/>
    </i>
    <i r="1">
      <x v="165"/>
    </i>
    <i r="1">
      <x v="141"/>
    </i>
    <i r="1">
      <x v="73"/>
    </i>
    <i r="1">
      <x v="160"/>
    </i>
    <i r="1">
      <x v="35"/>
    </i>
    <i r="1">
      <x v="138"/>
    </i>
    <i r="1">
      <x v="12"/>
    </i>
    <i r="1">
      <x v="194"/>
    </i>
    <i r="1">
      <x v="196"/>
    </i>
    <i r="1">
      <x v="127"/>
    </i>
    <i r="1">
      <x v="7"/>
    </i>
    <i r="1">
      <x v="27"/>
    </i>
    <i r="1">
      <x v="115"/>
    </i>
    <i r="1">
      <x v="36"/>
    </i>
    <i r="1">
      <x v="164"/>
    </i>
    <i r="1">
      <x v="182"/>
    </i>
    <i r="1">
      <x v="183"/>
    </i>
    <i r="1">
      <x v="181"/>
    </i>
    <i r="1">
      <x v="83"/>
    </i>
    <i r="1">
      <x v="49"/>
    </i>
    <i r="1">
      <x v="56"/>
    </i>
    <i r="1">
      <x v="180"/>
    </i>
    <i r="1">
      <x v="108"/>
    </i>
    <i t="grand">
      <x/>
    </i>
  </rowItems>
  <colItems count="1">
    <i/>
  </colItems>
  <dataFields count="1">
    <dataField name="Soma de %S/F" fld="19" baseField="0" baseItem="0" numFmtId="10"/>
  </dataFields>
  <formats count="8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" type="button" dataOnly="0" labelOnly="1" outline="0" axis="axisRow" fieldPosition="0"/>
    </format>
    <format dxfId="76">
      <pivotArea dataOnly="0" labelOnly="1" fieldPosition="0">
        <references count="1">
          <reference field="1" count="0"/>
        </references>
      </pivotArea>
    </format>
    <format dxfId="75">
      <pivotArea dataOnly="0" labelOnly="1" grandRow="1" outline="0" fieldPosition="0"/>
    </format>
    <format dxfId="74">
      <pivotArea dataOnly="0" labelOnly="1" fieldPosition="0">
        <references count="2">
          <reference field="1" count="0" selected="0"/>
          <reference field="5" count="50">
            <x v="3"/>
            <x v="8"/>
            <x v="17"/>
            <x v="18"/>
            <x v="20"/>
            <x v="22"/>
            <x v="23"/>
            <x v="24"/>
            <x v="33"/>
            <x v="37"/>
            <x v="38"/>
            <x v="40"/>
            <x v="45"/>
            <x v="46"/>
            <x v="48"/>
            <x v="52"/>
            <x v="53"/>
            <x v="57"/>
            <x v="62"/>
            <x v="63"/>
            <x v="67"/>
            <x v="70"/>
            <x v="72"/>
            <x v="74"/>
            <x v="77"/>
            <x v="78"/>
            <x v="79"/>
            <x v="80"/>
            <x v="81"/>
            <x v="82"/>
            <x v="85"/>
            <x v="90"/>
            <x v="91"/>
            <x v="95"/>
            <x v="99"/>
            <x v="100"/>
            <x v="102"/>
            <x v="104"/>
            <x v="106"/>
            <x v="107"/>
            <x v="110"/>
            <x v="121"/>
            <x v="123"/>
            <x v="126"/>
            <x v="131"/>
            <x v="132"/>
            <x v="139"/>
            <x v="148"/>
            <x v="151"/>
            <x v="158"/>
          </reference>
        </references>
      </pivotArea>
    </format>
    <format dxfId="73">
      <pivotArea dataOnly="0" labelOnly="1" fieldPosition="0">
        <references count="2">
          <reference field="1" count="0" selected="0"/>
          <reference field="5" count="2">
            <x v="161"/>
            <x v="163"/>
          </reference>
        </references>
      </pivotArea>
    </format>
    <format dxfId="72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9B6312F-BED4-4D3E-A0A6-AF66B4A9BC8E}" autoFormatId="16" applyNumberFormats="0" applyBorderFormats="0" applyFontFormats="0" applyPatternFormats="0" applyAlignmentFormats="0" applyWidthHeightFormats="0">
  <queryTableRefresh nextId="21">
    <queryTableFields count="20">
      <queryTableField id="1" name="FOLHA-FILIAL" tableColumnId="1"/>
      <queryTableField id="2" name="EMPRESA" tableColumnId="2"/>
      <queryTableField id="3" name="MÊS " tableColumnId="3"/>
      <queryTableField id="4" name="ANO " tableColumnId="4"/>
      <queryTableField id="5" name="CÓDIGO" tableColumnId="5"/>
      <queryTableField id="6" name="FUNCIONÁRIO" tableColumnId="6"/>
      <queryTableField id="7" name="DEPARTAMENTO" tableColumnId="7"/>
      <queryTableField id="8" name="FUNCAO" tableColumnId="8"/>
      <queryTableField id="9" name="PROVENTOS" tableColumnId="9"/>
      <queryTableField id="10" name="BASE DO INSS" tableColumnId="10"/>
      <queryTableField id="11" name="ENCARGOS " tableColumnId="11"/>
      <queryTableField id="12" name="FGTS" tableColumnId="12"/>
      <queryTableField id="13" name="PICPAY BENEFICIOS" tableColumnId="13"/>
      <queryTableField id="14" name="PICPAY ASSIDUIDADE" tableColumnId="14"/>
      <queryTableField id="15" name="PLANO DE SAÚDE" tableColumnId="15"/>
      <queryTableField id="16" name="VALE TRANSPORTE" tableColumnId="16"/>
      <queryTableField id="17" name="TOTAL" tableColumnId="17"/>
      <queryTableField id="18" name="HORAS EXTRAS" tableColumnId="18"/>
      <queryTableField id="19" name="FATURAMENTO" tableColumnId="19"/>
      <queryTableField id="20" name="%S/F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UNCAO" xr10:uid="{24C0555F-7166-4117-8A95-4813C30C3CE8}" sourceName="FUNCAO">
  <pivotTables>
    <pivotTable tabId="1" name="Tabela dinâmica3"/>
    <pivotTable tabId="1" name="Tabela dinâmica6"/>
    <pivotTable tabId="1" name="Tabela dinâmica1"/>
    <pivotTable tabId="1" name="Tabela dinâmica5"/>
    <pivotTable tabId="1" name="Tabela dinâmica4"/>
    <pivotTable tabId="1" name="Tabela dinâmica7"/>
  </pivotTables>
  <data>
    <tabular pivotCacheId="323616270">
      <items count="32">
        <i x="8" s="1"/>
        <i x="25" s="1"/>
        <i x="0" s="1"/>
        <i x="28" s="1"/>
        <i x="15" s="1"/>
        <i x="12" s="1"/>
        <i x="29" s="1"/>
        <i x="27" s="1"/>
        <i x="18" s="1"/>
        <i x="9" s="1"/>
        <i x="1" s="1"/>
        <i x="7" s="1"/>
        <i x="20" s="1"/>
        <i x="21" s="1"/>
        <i x="5" s="1"/>
        <i x="17" s="1"/>
        <i x="16" s="1"/>
        <i x="4" s="1"/>
        <i x="30" s="1"/>
        <i x="14" s="1"/>
        <i x="24" s="1"/>
        <i x="26" s="1"/>
        <i x="23" s="1"/>
        <i x="22" s="1"/>
        <i x="19" s="1"/>
        <i x="2" s="1"/>
        <i x="6" s="1"/>
        <i x="3" s="1"/>
        <i x="13" s="1"/>
        <i x="10" s="1"/>
        <i x="11" s="1"/>
        <i x="3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PARTAMENTO" xr10:uid="{A46F341A-D926-4E59-9204-A005CCCEE35A}" sourceName="DEPARTAMENTO">
  <pivotTables>
    <pivotTable tabId="1" name="Tabela dinâmica3"/>
    <pivotTable tabId="1" name="Tabela dinâmica1"/>
    <pivotTable tabId="1" name="Tabela dinâmica5"/>
    <pivotTable tabId="1" name="Tabela dinâmica4"/>
    <pivotTable tabId="1" name="Tabela dinâmica6"/>
    <pivotTable tabId="1" name="Tabela dinâmica7"/>
  </pivotTables>
  <data>
    <tabular pivotCacheId="323616270">
      <items count="10">
        <i x="4" s="1"/>
        <i x="0" s="1"/>
        <i x="5" s="1"/>
        <i x="2" s="1"/>
        <i x="7" s="1"/>
        <i x="3" s="1"/>
        <i x="1" s="1"/>
        <i x="8" s="1"/>
        <i x="9" s="1"/>
        <i x="6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MPRESA" xr10:uid="{DB0389B3-D43F-4B86-AA01-550F44766657}" sourceName="EMPRESA">
  <pivotTables>
    <pivotTable tabId="1" name="Tabela dinâmica3"/>
    <pivotTable tabId="1" name="Tabela dinâmica5"/>
    <pivotTable tabId="1" name="Tabela dinâmica6"/>
    <pivotTable tabId="1" name="Tabela dinâmica7"/>
    <pivotTable tabId="1" name="Tabela dinâmica8"/>
  </pivotTables>
  <data>
    <tabular pivotCacheId="323616270">
      <items count="3">
        <i x="1" s="1"/>
        <i x="0" s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PARTAMENTO1" xr10:uid="{6DF8A955-76BA-4D65-B839-1FB7E3191B76}" sourceName="DEPARTAMENTO">
  <pivotTables>
    <pivotTable tabId="2" name="Tabela dinâmica5"/>
    <pivotTable tabId="2" name="Tabela dinâmica1"/>
  </pivotTables>
  <data>
    <tabular pivotCacheId="1709153730">
      <items count="10">
        <i x="4" s="1"/>
        <i x="0" s="1"/>
        <i x="5" s="1"/>
        <i x="2" s="1"/>
        <i x="7" s="1"/>
        <i x="3" s="1"/>
        <i x="1" s="1"/>
        <i x="8" s="1"/>
        <i x="9" s="1"/>
        <i x="6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EFEF3A8E-177B-4C78-8495-F0D2B8428C03}" sourceName="MÊS ">
  <pivotTables>
    <pivotTable tabId="1" name="Tabela dinâmica3"/>
    <pivotTable tabId="1" name="Tabela dinâmica1"/>
    <pivotTable tabId="1" name="Tabela dinâmica4"/>
    <pivotTable tabId="1" name="Tabela dinâmica5"/>
    <pivotTable tabId="1" name="Tabela dinâmica6"/>
    <pivotTable tabId="1" name="Tabela dinâmica7"/>
    <pivotTable tabId="1" name="Tabela dinâmica8"/>
    <pivotTable tabId="1" name="Tabela dinâmica2"/>
  </pivotTables>
  <data>
    <tabular pivotCacheId="323616270">
      <items count="3">
        <i x="0"/>
        <i x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89414C46-6BBC-41EC-ABB0-93FAA92E00B8}" sourceName="MÊS">
  <pivotTables>
    <pivotTable tabId="2" name="Tabela dinâmica5"/>
    <pivotTable tabId="2" name="Tabela dinâmica1"/>
  </pivotTables>
  <data>
    <tabular pivotCacheId="1709153730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UNCAO" xr10:uid="{86D4B6C9-43CA-405D-8A0A-65E3BDCA5633}" cache="SegmentaçãodeDados_FUNCAO" caption="FUNCAO" style="funcao" rowHeight="234950"/>
  <slicer name="DEPARTAMENTO" xr10:uid="{0E7F6AAB-E0C7-4552-B553-66461A2EDA6E}" cache="SegmentaçãodeDados_DEPARTAMENTO" caption="DEPARTAMENTO" startItem="2" style="funcao" rowHeight="234950"/>
  <slicer name="EMPRESA" xr10:uid="{41820291-C43C-4ABF-8621-094D7ED3AE72}" cache="SegmentaçãodeDados_EMPRESA" caption="EMPRESA" style="funcao" rowHeight="234950"/>
  <slicer name="DEPARTAMENTO 1" xr10:uid="{426150A2-B959-4AD0-9E2F-41079733647F}" cache="SegmentaçãodeDados_DEPARTAMENTO1" caption="DEPARTAMENTO" columnCount="2" style="funcao" rowHeight="234950"/>
  <slicer name="MÊS " xr10:uid="{11753C36-3700-423F-88EB-0ECDA8055D76}" cache="SegmentaçãodeDados_MÊS" caption="MÊS " startItem="2" style="funcao" rowHeight="234950"/>
  <slicer name="MÊS" xr10:uid="{B9F227B6-A997-46B3-AAAC-4A566A030954}" cache="SegmentaçãodeDados_MÊS1" caption="MÊS" startItem="1" style="funcao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38C61A-35AD-4DA9-BB87-1989BA9329F1}" name="FOLHA_ADM" displayName="FOLHA_ADM" ref="A1:T506" tableType="queryTable" totalsRowShown="0">
  <autoFilter ref="A1:T506" xr:uid="{7738C61A-35AD-4DA9-BB87-1989BA9329F1}"/>
  <tableColumns count="20">
    <tableColumn id="1" xr3:uid="{79C89B42-101B-42AA-96B7-4E46BD018C37}" uniqueName="1" name="FOLHA-FILIAL" queryTableFieldId="1" dataDxfId="17"/>
    <tableColumn id="2" xr3:uid="{31645606-8F8D-4A8D-A867-8835C164E886}" uniqueName="2" name="EMPRESA" queryTableFieldId="2" dataDxfId="16"/>
    <tableColumn id="3" xr3:uid="{30BC89B6-262A-48BD-8A5F-1EAE33FB3FE3}" uniqueName="3" name="MÊS " queryTableFieldId="3" dataDxfId="15"/>
    <tableColumn id="4" xr3:uid="{246BF9FB-5A3B-450B-B69A-662D354C7509}" uniqueName="4" name="ANO " queryTableFieldId="4"/>
    <tableColumn id="5" xr3:uid="{6A18697A-6584-42D8-B367-609AAB002818}" uniqueName="5" name="CÓDIGO" queryTableFieldId="5"/>
    <tableColumn id="6" xr3:uid="{E84EDB79-D989-4D9C-9846-9A89E7178DF1}" uniqueName="6" name="FUNCIONÁRIO" queryTableFieldId="6" dataDxfId="14"/>
    <tableColumn id="7" xr3:uid="{CDE23779-63E2-477A-A644-E19FAD0A5F3A}" uniqueName="7" name="DEPARTAMENTO" queryTableFieldId="7" dataDxfId="13"/>
    <tableColumn id="8" xr3:uid="{D3019573-BD8F-482A-940A-9298DA4D5982}" uniqueName="8" name="FUNCAO" queryTableFieldId="8" dataDxfId="12"/>
    <tableColumn id="9" xr3:uid="{872C7438-DA31-4678-A3AF-AEFB0099BBB0}" uniqueName="9" name="PROVENTOS" queryTableFieldId="9" dataDxfId="11" dataCellStyle="Moeda"/>
    <tableColumn id="10" xr3:uid="{6371DB04-5B43-492B-A870-51C3FF529DDC}" uniqueName="10" name="BASE DO INSS" queryTableFieldId="10" dataDxfId="10" dataCellStyle="Moeda"/>
    <tableColumn id="11" xr3:uid="{48E9CD27-7550-43BD-88C7-B86D37154982}" uniqueName="11" name="ENCARGOS " queryTableFieldId="11" dataDxfId="9" dataCellStyle="Moeda"/>
    <tableColumn id="12" xr3:uid="{CA80711D-91FE-4489-BC32-4C663E3157CF}" uniqueName="12" name="FGTS" queryTableFieldId="12" dataDxfId="8" dataCellStyle="Moeda"/>
    <tableColumn id="13" xr3:uid="{36F23719-EFBC-4551-B31B-9C1C18B1E8EC}" uniqueName="13" name="PICPAY BENEFICIOS" queryTableFieldId="13" dataDxfId="7" dataCellStyle="Moeda"/>
    <tableColumn id="14" xr3:uid="{8348C18A-3DA5-4202-87EA-EC5DE275AFE0}" uniqueName="14" name="PICPAY ASSIDUIDADE" queryTableFieldId="14" dataDxfId="6" dataCellStyle="Moeda"/>
    <tableColumn id="15" xr3:uid="{E90E56E7-EFEA-4052-8616-7D1A0AD1E359}" uniqueName="15" name="PLANO DE SAÚDE" queryTableFieldId="15" dataDxfId="5" dataCellStyle="Moeda"/>
    <tableColumn id="16" xr3:uid="{88321DCB-7F05-4FD9-AAE7-9DE26585F7E4}" uniqueName="16" name="VALE TRANSPORTE" queryTableFieldId="16" dataDxfId="4" dataCellStyle="Moeda"/>
    <tableColumn id="17" xr3:uid="{BBFC9765-36BA-44C6-ACFF-24C2AAAA8D88}" uniqueName="17" name="TOTAL" queryTableFieldId="17" dataDxfId="3" dataCellStyle="Moeda"/>
    <tableColumn id="18" xr3:uid="{C517EB3E-D8EB-4132-A2A5-5B2F2D17A4B4}" uniqueName="18" name="HORAS EXTRAS" queryTableFieldId="18" dataDxfId="2" dataCellStyle="Moeda"/>
    <tableColumn id="19" xr3:uid="{61080C46-70AF-4996-88C6-E75D8694544F}" uniqueName="19" name="FATURAMENTO" queryTableFieldId="19" dataDxfId="1" dataCellStyle="Moeda"/>
    <tableColumn id="20" xr3:uid="{E446E4C4-9B6B-4481-8FB9-4E8CB167C737}" uniqueName="20" name="%S/F" queryTableFieldId="20" dataDxfId="0" dataCellStyle="Porcentagem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A7B9A-DBA6-4CDC-96FA-401A15553716}" name="ANALISE_37" displayName="ANALISE_37" ref="W1:AD91" totalsRowShown="0">
  <autoFilter ref="W1:AD91" xr:uid="{F66A7B9A-DBA6-4CDC-96FA-401A15553716}"/>
  <tableColumns count="8">
    <tableColumn id="1" xr3:uid="{7EAB77FC-95DF-440D-8BC5-39DD2F62581B}" name="EMPRESA"/>
    <tableColumn id="2" xr3:uid="{71045008-C907-4C68-9500-9DD99B2E6423}" name="MÊS"/>
    <tableColumn id="3" xr3:uid="{5FE099FD-F14A-4984-B8FD-A6567F079D94}" name="ANO"/>
    <tableColumn id="4" xr3:uid="{2460C02D-BBCC-4685-B16D-C012851CE0FF}" name="DEPARTAMENTO" dataDxfId="83"/>
    <tableColumn id="5" xr3:uid="{74F5C4E3-F4DD-4834-BA50-5EBEA4862CCE}" name="FATURAMENTO" dataDxfId="82" dataCellStyle="Moeda"/>
    <tableColumn id="6" xr3:uid="{FE6CE768-6E20-4825-B3C9-53A643A53C4F}" name="FUNCIONÁRIOS">
      <calculatedColumnFormula>COUNTIFS(FOLHA_ADM[EMPRESA],W2,FOLHA_ADM[[MÊS ]],X2,FOLHA_ADM[[ANO ]],Y2,FOLHA_ADM[DEPARTAMENTO],Z2)</calculatedColumnFormula>
    </tableColumn>
    <tableColumn id="7" xr3:uid="{A16A2135-CE9C-44B7-9F2E-1380B5BFD724}" name="TOTAL" dataDxfId="81" dataCellStyle="Moeda">
      <calculatedColumnFormula>SUMIFS(FOLHA_ADM[TOTAL],FOLHA_ADM[EMPRESA],W2,FOLHA_ADM[[MÊS ]],X2,FOLHA_ADM[[ANO ]],Y2,FOLHA_ADM[DEPARTAMENTO],Z2)</calculatedColumnFormula>
    </tableColumn>
    <tableColumn id="8" xr3:uid="{7C72E72B-2089-4C46-B2B9-F1CF8AC11826}" name="VENDA POR FUNCIONÁRIO" dataDxfId="80">
      <calculatedColumnFormula>IFERROR(AA2/AB2,0)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0.xml"/><Relationship Id="rId3" Type="http://schemas.openxmlformats.org/officeDocument/2006/relationships/pivotTable" Target="../pivotTables/pivotTable5.xml"/><Relationship Id="rId7" Type="http://schemas.openxmlformats.org/officeDocument/2006/relationships/pivotTable" Target="../pivotTables/pivotTable9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9FA69-E69F-4074-A7AD-BC7F93FA5DC1}">
  <sheetPr codeName="Planilha1"/>
  <dimension ref="A1:AO506"/>
  <sheetViews>
    <sheetView topLeftCell="AG1" workbookViewId="0">
      <selection activeCell="AN3" sqref="AN3"/>
    </sheetView>
  </sheetViews>
  <sheetFormatPr defaultRowHeight="14.4" x14ac:dyDescent="0.3"/>
  <cols>
    <col min="1" max="1" width="18.44140625" bestFit="1" customWidth="1"/>
    <col min="2" max="2" width="12.5546875" bestFit="1" customWidth="1"/>
    <col min="3" max="3" width="10.21875" bestFit="1" customWidth="1"/>
    <col min="4" max="4" width="7.5546875" bestFit="1" customWidth="1"/>
    <col min="5" max="5" width="10" bestFit="1" customWidth="1"/>
    <col min="6" max="6" width="40.21875" bestFit="1" customWidth="1"/>
    <col min="7" max="7" width="17.6640625" bestFit="1" customWidth="1"/>
    <col min="8" max="8" width="26.6640625" bestFit="1" customWidth="1"/>
    <col min="9" max="9" width="15" style="2" bestFit="1" customWidth="1"/>
    <col min="10" max="10" width="16.33203125" style="2" bestFit="1" customWidth="1"/>
    <col min="11" max="11" width="14.33203125" style="2" bestFit="1" customWidth="1"/>
    <col min="12" max="12" width="10.44140625" style="2" bestFit="1" customWidth="1"/>
    <col min="13" max="13" width="21.21875" style="2" bestFit="1" customWidth="1"/>
    <col min="14" max="14" width="22.88671875" style="2" bestFit="1" customWidth="1"/>
    <col min="15" max="15" width="19.5546875" style="2" bestFit="1" customWidth="1"/>
    <col min="16" max="16" width="20.77734375" style="2" bestFit="1" customWidth="1"/>
    <col min="17" max="17" width="13" style="2" bestFit="1" customWidth="1"/>
    <col min="18" max="18" width="17.44140625" style="2" bestFit="1" customWidth="1"/>
    <col min="19" max="19" width="17.88671875" style="2" bestFit="1" customWidth="1"/>
    <col min="20" max="20" width="7.44140625" style="1" bestFit="1" customWidth="1"/>
    <col min="23" max="23" width="12.44140625" bestFit="1" customWidth="1"/>
    <col min="24" max="24" width="10.109375" bestFit="1" customWidth="1"/>
    <col min="25" max="25" width="7.109375" bestFit="1" customWidth="1"/>
    <col min="26" max="26" width="17.6640625" bestFit="1" customWidth="1"/>
    <col min="27" max="27" width="16.5546875" bestFit="1" customWidth="1"/>
    <col min="28" max="28" width="16.44140625" bestFit="1" customWidth="1"/>
    <col min="29" max="29" width="12.88671875" bestFit="1" customWidth="1"/>
    <col min="30" max="30" width="26.109375" bestFit="1" customWidth="1"/>
    <col min="35" max="35" width="17.21875" bestFit="1" customWidth="1"/>
    <col min="36" max="36" width="12.44140625" bestFit="1" customWidth="1"/>
    <col min="37" max="37" width="17.77734375" bestFit="1" customWidth="1"/>
    <col min="38" max="38" width="24.33203125" bestFit="1" customWidth="1"/>
    <col min="39" max="39" width="31.88671875" bestFit="1" customWidth="1"/>
    <col min="40" max="40" width="17.21875" bestFit="1" customWidth="1"/>
    <col min="41" max="41" width="6" bestFit="1" customWidth="1"/>
    <col min="42" max="43" width="6.88671875" bestFit="1" customWidth="1"/>
  </cols>
  <sheetData>
    <row r="1" spans="1:4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1" t="s">
        <v>19</v>
      </c>
      <c r="W1" t="s">
        <v>1</v>
      </c>
      <c r="X1" t="s">
        <v>249</v>
      </c>
      <c r="Y1" t="s">
        <v>250</v>
      </c>
      <c r="Z1" s="14" t="s">
        <v>6</v>
      </c>
      <c r="AA1" t="s">
        <v>18</v>
      </c>
      <c r="AB1" t="s">
        <v>251</v>
      </c>
      <c r="AC1" t="s">
        <v>16</v>
      </c>
      <c r="AD1" t="s">
        <v>252</v>
      </c>
    </row>
    <row r="2" spans="1:41" x14ac:dyDescent="0.3">
      <c r="A2" s="30" t="s">
        <v>0</v>
      </c>
      <c r="B2" s="30" t="s">
        <v>20</v>
      </c>
      <c r="C2" s="30" t="s">
        <v>21</v>
      </c>
      <c r="D2">
        <v>2025</v>
      </c>
      <c r="E2">
        <v>111</v>
      </c>
      <c r="F2" s="30" t="s">
        <v>22</v>
      </c>
      <c r="G2" s="30" t="s">
        <v>23</v>
      </c>
      <c r="H2" s="30" t="s">
        <v>24</v>
      </c>
      <c r="I2" s="2">
        <v>2475.48</v>
      </c>
      <c r="J2" s="2">
        <v>2475.48</v>
      </c>
      <c r="K2" s="2">
        <v>675.80600000000004</v>
      </c>
      <c r="L2" s="2">
        <v>198.03</v>
      </c>
      <c r="M2" s="2">
        <v>322</v>
      </c>
      <c r="N2" s="2">
        <v>0</v>
      </c>
      <c r="O2" s="2">
        <v>122.84</v>
      </c>
      <c r="P2" s="2">
        <v>0</v>
      </c>
      <c r="Q2" s="2">
        <v>3794.1559999999999</v>
      </c>
      <c r="R2" s="2">
        <v>31.91</v>
      </c>
      <c r="S2" s="2">
        <v>1309803.51</v>
      </c>
      <c r="T2" s="1">
        <v>2.8967368090195449E-3</v>
      </c>
      <c r="W2" t="s">
        <v>20</v>
      </c>
      <c r="X2" t="s">
        <v>21</v>
      </c>
      <c r="Y2">
        <v>2025</v>
      </c>
      <c r="Z2" s="15" t="s">
        <v>23</v>
      </c>
      <c r="AA2" s="2">
        <v>1309803.51</v>
      </c>
      <c r="AB2">
        <f>COUNTIFS(FOLHA_ADM[EMPRESA],W2,FOLHA_ADM[[MÊS ]],X2,FOLHA_ADM[[ANO ]],Y2,FOLHA_ADM[DEPARTAMENTO],Z2)</f>
        <v>3</v>
      </c>
      <c r="AC2" s="2">
        <f>SUMIFS(FOLHA_ADM[TOTAL],FOLHA_ADM[EMPRESA],W2,FOLHA_ADM[[MÊS ]],X2,FOLHA_ADM[[ANO ]],Y2,FOLHA_ADM[DEPARTAMENTO],Z2)</f>
        <v>8712.116</v>
      </c>
      <c r="AD2" s="3">
        <f t="shared" ref="AD2:AD31" si="0">IFERROR(AA2/AB2,0)</f>
        <v>436601.17</v>
      </c>
    </row>
    <row r="3" spans="1:41" x14ac:dyDescent="0.3">
      <c r="A3" s="30" t="s">
        <v>0</v>
      </c>
      <c r="B3" s="30" t="s">
        <v>20</v>
      </c>
      <c r="C3" s="30" t="s">
        <v>21</v>
      </c>
      <c r="D3">
        <v>2025</v>
      </c>
      <c r="E3">
        <v>139</v>
      </c>
      <c r="F3" s="30" t="s">
        <v>25</v>
      </c>
      <c r="G3" s="30" t="s">
        <v>26</v>
      </c>
      <c r="H3" s="30" t="s">
        <v>27</v>
      </c>
      <c r="I3" s="2">
        <v>2347.9699999999998</v>
      </c>
      <c r="J3" s="2">
        <v>2346.2600000000002</v>
      </c>
      <c r="K3" s="2">
        <v>640.529</v>
      </c>
      <c r="L3" s="2">
        <v>187.7</v>
      </c>
      <c r="M3" s="2">
        <v>0</v>
      </c>
      <c r="N3" s="2">
        <v>0</v>
      </c>
      <c r="O3" s="2">
        <v>0</v>
      </c>
      <c r="P3" s="2">
        <v>0</v>
      </c>
      <c r="Q3" s="2">
        <v>3176.1990000000001</v>
      </c>
      <c r="R3" s="2">
        <v>33.28</v>
      </c>
      <c r="S3" s="2">
        <v>1309803.51</v>
      </c>
      <c r="T3" s="1">
        <v>2.4249430969993354E-3</v>
      </c>
      <c r="W3" t="s">
        <v>20</v>
      </c>
      <c r="X3" t="s">
        <v>21</v>
      </c>
      <c r="Y3">
        <v>2025</v>
      </c>
      <c r="Z3" s="15" t="s">
        <v>26</v>
      </c>
      <c r="AA3" s="2">
        <v>87205.3</v>
      </c>
      <c r="AB3">
        <f>COUNTIFS(FOLHA_ADM[EMPRESA],W3,FOLHA_ADM[[MÊS ]],X3,FOLHA_ADM[[ANO ]],Y3,FOLHA_ADM[DEPARTAMENTO],Z3)</f>
        <v>3</v>
      </c>
      <c r="AC3" s="2">
        <f>SUMIFS(FOLHA_ADM[TOTAL],FOLHA_ADM[EMPRESA],W3,FOLHA_ADM[[MÊS ]],X3,FOLHA_ADM[[ANO ]],Y3,FOLHA_ADM[DEPARTAMENTO],Z3)</f>
        <v>10258.337600000001</v>
      </c>
      <c r="AD3" s="3">
        <f t="shared" si="0"/>
        <v>29068.433333333334</v>
      </c>
      <c r="AI3" s="4" t="s">
        <v>234</v>
      </c>
      <c r="AJ3" t="s">
        <v>253</v>
      </c>
      <c r="AK3" t="s">
        <v>254</v>
      </c>
      <c r="AL3" t="s">
        <v>255</v>
      </c>
      <c r="AN3" s="4" t="s">
        <v>234</v>
      </c>
      <c r="AO3" t="s">
        <v>256</v>
      </c>
    </row>
    <row r="4" spans="1:41" x14ac:dyDescent="0.3">
      <c r="A4" s="30" t="s">
        <v>0</v>
      </c>
      <c r="B4" s="30" t="s">
        <v>20</v>
      </c>
      <c r="C4" s="30" t="s">
        <v>21</v>
      </c>
      <c r="D4">
        <v>2025</v>
      </c>
      <c r="E4">
        <v>202</v>
      </c>
      <c r="F4" s="30" t="s">
        <v>28</v>
      </c>
      <c r="G4" s="30" t="s">
        <v>29</v>
      </c>
      <c r="H4" s="30" t="s">
        <v>30</v>
      </c>
      <c r="I4" s="2">
        <v>931.68</v>
      </c>
      <c r="J4" s="2">
        <v>931.68</v>
      </c>
      <c r="K4" s="2">
        <v>254.3486</v>
      </c>
      <c r="L4" s="2">
        <v>74.53</v>
      </c>
      <c r="M4" s="2">
        <v>0</v>
      </c>
      <c r="N4" s="2">
        <v>0</v>
      </c>
      <c r="O4" s="2">
        <v>0</v>
      </c>
      <c r="P4" s="2">
        <v>0</v>
      </c>
      <c r="Q4" s="2">
        <v>1260.5586000000001</v>
      </c>
      <c r="R4" s="2">
        <v>43.28</v>
      </c>
      <c r="S4" s="2">
        <v>1309803.51</v>
      </c>
      <c r="T4" s="1">
        <v>9.6240285689874196E-4</v>
      </c>
      <c r="W4" t="s">
        <v>20</v>
      </c>
      <c r="X4" t="s">
        <v>21</v>
      </c>
      <c r="Y4">
        <v>2025</v>
      </c>
      <c r="Z4" s="15" t="s">
        <v>29</v>
      </c>
      <c r="AA4" s="2">
        <v>1309803.51</v>
      </c>
      <c r="AB4">
        <f>COUNTIFS(FOLHA_ADM[EMPRESA],W4,FOLHA_ADM[[MÊS ]],X4,FOLHA_ADM[[ANO ]],Y4,FOLHA_ADM[DEPARTAMENTO],Z4)</f>
        <v>14</v>
      </c>
      <c r="AC4" s="2">
        <f>SUMIFS(FOLHA_ADM[TOTAL],FOLHA_ADM[EMPRESA],W4,FOLHA_ADM[[MÊS ]],X4,FOLHA_ADM[[ANO ]],Y4,FOLHA_ADM[DEPARTAMENTO],Z4)</f>
        <v>48484.677400000008</v>
      </c>
      <c r="AD4" s="3">
        <f t="shared" si="0"/>
        <v>93557.393571428576</v>
      </c>
      <c r="AI4" s="5" t="s">
        <v>72</v>
      </c>
      <c r="AJ4" s="30">
        <v>158</v>
      </c>
      <c r="AK4" s="3">
        <v>31801154.850000001</v>
      </c>
      <c r="AL4" s="3">
        <v>13431762.818952378</v>
      </c>
      <c r="AN4" s="5" t="s">
        <v>72</v>
      </c>
      <c r="AO4" s="6">
        <v>1.7722398436734756E-2</v>
      </c>
    </row>
    <row r="5" spans="1:41" x14ac:dyDescent="0.3">
      <c r="A5" s="30" t="s">
        <v>0</v>
      </c>
      <c r="B5" s="30" t="s">
        <v>20</v>
      </c>
      <c r="C5" s="30" t="s">
        <v>21</v>
      </c>
      <c r="D5">
        <v>2025</v>
      </c>
      <c r="E5">
        <v>183</v>
      </c>
      <c r="F5" s="30" t="s">
        <v>31</v>
      </c>
      <c r="G5" s="30" t="s">
        <v>29</v>
      </c>
      <c r="H5" s="30" t="s">
        <v>30</v>
      </c>
      <c r="I5" s="2">
        <v>2490.9299999999998</v>
      </c>
      <c r="J5" s="2">
        <v>2384.6799999999998</v>
      </c>
      <c r="K5" s="2">
        <v>651.01760000000002</v>
      </c>
      <c r="L5" s="2">
        <v>190.77</v>
      </c>
      <c r="M5" s="2">
        <v>308</v>
      </c>
      <c r="N5" s="2">
        <v>80</v>
      </c>
      <c r="O5" s="2">
        <v>0</v>
      </c>
      <c r="P5" s="2">
        <v>0</v>
      </c>
      <c r="Q5" s="2">
        <v>3720.7175999999999</v>
      </c>
      <c r="R5" s="2">
        <v>149.29</v>
      </c>
      <c r="S5" s="2">
        <v>1309803.51</v>
      </c>
      <c r="T5" s="1">
        <v>2.8406685518807318E-3</v>
      </c>
      <c r="W5" t="s">
        <v>20</v>
      </c>
      <c r="X5" t="s">
        <v>21</v>
      </c>
      <c r="Y5">
        <v>2025</v>
      </c>
      <c r="Z5" s="15" t="s">
        <v>33</v>
      </c>
      <c r="AA5" s="2">
        <v>890516.89</v>
      </c>
      <c r="AB5">
        <f>COUNTIFS(FOLHA_ADM[EMPRESA],W5,FOLHA_ADM[[MÊS ]],X5,FOLHA_ADM[[ANO ]],Y5,FOLHA_ADM[DEPARTAMENTO],Z5)</f>
        <v>12</v>
      </c>
      <c r="AC5" s="2">
        <f>SUMIFS(FOLHA_ADM[TOTAL],FOLHA_ADM[EMPRESA],W5,FOLHA_ADM[[MÊS ]],X5,FOLHA_ADM[[ANO ]],Y5,FOLHA_ADM[DEPARTAMENTO],Z5)</f>
        <v>31539.9005</v>
      </c>
      <c r="AD5" s="3">
        <f t="shared" si="0"/>
        <v>74209.74083333333</v>
      </c>
      <c r="AI5" s="5" t="s">
        <v>20</v>
      </c>
      <c r="AJ5" s="30">
        <v>130</v>
      </c>
      <c r="AK5" s="3">
        <v>25803199.930000007</v>
      </c>
      <c r="AL5" s="3">
        <v>8609117.1719154567</v>
      </c>
      <c r="AN5" s="5" t="s">
        <v>20</v>
      </c>
      <c r="AO5" s="6">
        <v>1.664242358951485E-2</v>
      </c>
    </row>
    <row r="6" spans="1:41" x14ac:dyDescent="0.3">
      <c r="A6" s="30" t="s">
        <v>0</v>
      </c>
      <c r="B6" s="30" t="s">
        <v>20</v>
      </c>
      <c r="C6" s="30" t="s">
        <v>21</v>
      </c>
      <c r="D6">
        <v>2025</v>
      </c>
      <c r="E6">
        <v>170</v>
      </c>
      <c r="F6" s="30" t="s">
        <v>32</v>
      </c>
      <c r="G6" s="30" t="s">
        <v>33</v>
      </c>
      <c r="H6" s="30" t="s">
        <v>34</v>
      </c>
      <c r="I6" s="2">
        <v>0</v>
      </c>
      <c r="J6" s="2">
        <v>0</v>
      </c>
      <c r="K6" s="2">
        <v>0</v>
      </c>
      <c r="L6" s="2">
        <v>0</v>
      </c>
      <c r="M6" s="2">
        <v>70</v>
      </c>
      <c r="N6" s="2">
        <v>0</v>
      </c>
      <c r="O6" s="2">
        <v>0</v>
      </c>
      <c r="P6" s="2">
        <v>0</v>
      </c>
      <c r="Q6" s="2">
        <v>70</v>
      </c>
      <c r="R6" s="2">
        <v>0</v>
      </c>
      <c r="S6" s="2">
        <v>1309803.51</v>
      </c>
      <c r="T6" s="1">
        <v>5.3443130565438781E-5</v>
      </c>
      <c r="W6" t="s">
        <v>20</v>
      </c>
      <c r="X6" t="s">
        <v>21</v>
      </c>
      <c r="Y6">
        <v>2025</v>
      </c>
      <c r="Z6" s="15" t="s">
        <v>39</v>
      </c>
      <c r="AA6" s="2">
        <v>202015.59</v>
      </c>
      <c r="AB6">
        <f>COUNTIFS(FOLHA_ADM[EMPRESA],W6,FOLHA_ADM[[MÊS ]],X6,FOLHA_ADM[[ANO ]],Y6,FOLHA_ADM[DEPARTAMENTO],Z6)</f>
        <v>6</v>
      </c>
      <c r="AC6" s="2">
        <f>SUMIFS(FOLHA_ADM[TOTAL],FOLHA_ADM[EMPRESA],W6,FOLHA_ADM[[MÊS ]],X6,FOLHA_ADM[[ANO ]],Y6,FOLHA_ADM[DEPARTAMENTO],Z6)</f>
        <v>22501.3236</v>
      </c>
      <c r="AD6" s="3">
        <f t="shared" si="0"/>
        <v>33669.264999999999</v>
      </c>
      <c r="AI6" s="5" t="s">
        <v>119</v>
      </c>
      <c r="AJ6" s="30">
        <v>217</v>
      </c>
      <c r="AK6" s="3">
        <v>45428087.179999985</v>
      </c>
      <c r="AL6" s="3">
        <v>19431827.503786653</v>
      </c>
      <c r="AN6" s="5" t="s">
        <v>119</v>
      </c>
      <c r="AO6" s="6">
        <v>1.7482193845257132E-2</v>
      </c>
    </row>
    <row r="7" spans="1:41" x14ac:dyDescent="0.3">
      <c r="A7" s="30" t="s">
        <v>0</v>
      </c>
      <c r="B7" s="30" t="s">
        <v>20</v>
      </c>
      <c r="C7" s="30" t="s">
        <v>21</v>
      </c>
      <c r="D7">
        <v>2025</v>
      </c>
      <c r="E7">
        <v>123</v>
      </c>
      <c r="F7" s="30" t="s">
        <v>35</v>
      </c>
      <c r="G7" s="30" t="s">
        <v>29</v>
      </c>
      <c r="H7" s="30" t="s">
        <v>30</v>
      </c>
      <c r="I7" s="2">
        <v>2627.23</v>
      </c>
      <c r="J7" s="2">
        <v>125.27</v>
      </c>
      <c r="K7" s="2">
        <v>34.198700000000002</v>
      </c>
      <c r="L7" s="2">
        <v>10.02</v>
      </c>
      <c r="M7" s="2">
        <v>0</v>
      </c>
      <c r="N7" s="2">
        <v>0</v>
      </c>
      <c r="O7" s="2">
        <v>0</v>
      </c>
      <c r="P7" s="2">
        <v>0</v>
      </c>
      <c r="Q7" s="2">
        <v>2671.4486999999999</v>
      </c>
      <c r="R7" s="2">
        <v>0</v>
      </c>
      <c r="S7" s="2">
        <v>1309803.51</v>
      </c>
      <c r="T7" s="1">
        <v>2.039579745820043E-3</v>
      </c>
      <c r="W7" t="s">
        <v>20</v>
      </c>
      <c r="X7" t="s">
        <v>21</v>
      </c>
      <c r="Y7">
        <v>2025</v>
      </c>
      <c r="Z7" s="15" t="s">
        <v>42</v>
      </c>
      <c r="AA7" s="2">
        <v>1309803.51</v>
      </c>
      <c r="AB7">
        <f>COUNTIFS(FOLHA_ADM[EMPRESA],W7,FOLHA_ADM[[MÊS ]],X7,FOLHA_ADM[[ANO ]],Y7,FOLHA_ADM[DEPARTAMENTO],Z7)</f>
        <v>2</v>
      </c>
      <c r="AC7" s="2">
        <f>SUMIFS(FOLHA_ADM[TOTAL],FOLHA_ADM[EMPRESA],W7,FOLHA_ADM[[MÊS ]],X7,FOLHA_ADM[[ANO ]],Y7,FOLHA_ADM[DEPARTAMENTO],Z7)</f>
        <v>3742.3769000000002</v>
      </c>
      <c r="AD7" s="3">
        <f t="shared" si="0"/>
        <v>654901.755</v>
      </c>
      <c r="AI7" s="5" t="s">
        <v>235</v>
      </c>
      <c r="AJ7" s="30">
        <v>505</v>
      </c>
      <c r="AK7" s="3">
        <v>103032441.95999999</v>
      </c>
      <c r="AL7" s="3">
        <v>41472707.494654492</v>
      </c>
      <c r="AN7" s="5" t="s">
        <v>235</v>
      </c>
      <c r="AO7" s="6">
        <v>1.7346023371879713E-2</v>
      </c>
    </row>
    <row r="8" spans="1:41" x14ac:dyDescent="0.3">
      <c r="A8" s="30" t="s">
        <v>0</v>
      </c>
      <c r="B8" s="30" t="s">
        <v>20</v>
      </c>
      <c r="C8" s="30" t="s">
        <v>21</v>
      </c>
      <c r="D8">
        <v>2025</v>
      </c>
      <c r="E8">
        <v>16</v>
      </c>
      <c r="F8" s="30" t="s">
        <v>36</v>
      </c>
      <c r="G8" s="30" t="s">
        <v>26</v>
      </c>
      <c r="H8" s="30" t="s">
        <v>37</v>
      </c>
      <c r="I8" s="2">
        <v>2549.48</v>
      </c>
      <c r="J8" s="2">
        <v>2495.98</v>
      </c>
      <c r="K8" s="2">
        <v>681.40250000000003</v>
      </c>
      <c r="L8" s="2">
        <v>199.67</v>
      </c>
      <c r="M8" s="2">
        <v>308</v>
      </c>
      <c r="N8" s="2">
        <v>80</v>
      </c>
      <c r="O8" s="2">
        <v>0</v>
      </c>
      <c r="P8" s="2">
        <v>0</v>
      </c>
      <c r="Q8" s="2">
        <v>3818.5524999999998</v>
      </c>
      <c r="R8" s="2">
        <v>96.51</v>
      </c>
      <c r="S8" s="2">
        <v>1309803.51</v>
      </c>
      <c r="T8" s="1">
        <v>2.9153628852315416E-3</v>
      </c>
      <c r="W8" t="s">
        <v>20</v>
      </c>
      <c r="X8" t="s">
        <v>21</v>
      </c>
      <c r="Y8">
        <v>2025</v>
      </c>
      <c r="Z8" s="15" t="s">
        <v>76</v>
      </c>
      <c r="AA8" s="2">
        <v>1309803.51</v>
      </c>
      <c r="AB8">
        <f>COUNTIFS(FOLHA_ADM[EMPRESA],W8,FOLHA_ADM[[MÊS ]],X8,FOLHA_ADM[[ANO ]],Y8,FOLHA_ADM[DEPARTAMENTO],Z8)</f>
        <v>1</v>
      </c>
      <c r="AC8" s="2">
        <f>SUMIFS(FOLHA_ADM[TOTAL],FOLHA_ADM[EMPRESA],W8,FOLHA_ADM[[MÊS ]],X8,FOLHA_ADM[[ANO ]],Y8,FOLHA_ADM[DEPARTAMENTO],Z8)</f>
        <v>2824</v>
      </c>
      <c r="AD8" s="3">
        <f t="shared" si="0"/>
        <v>1309803.51</v>
      </c>
    </row>
    <row r="9" spans="1:41" x14ac:dyDescent="0.3">
      <c r="A9" s="30" t="s">
        <v>0</v>
      </c>
      <c r="B9" s="30" t="s">
        <v>20</v>
      </c>
      <c r="C9" s="30" t="s">
        <v>21</v>
      </c>
      <c r="D9">
        <v>2025</v>
      </c>
      <c r="E9">
        <v>25</v>
      </c>
      <c r="F9" s="30" t="s">
        <v>38</v>
      </c>
      <c r="G9" s="30" t="s">
        <v>39</v>
      </c>
      <c r="H9" s="30" t="s">
        <v>37</v>
      </c>
      <c r="I9" s="2">
        <v>3340.89</v>
      </c>
      <c r="J9" s="2">
        <v>3340.89</v>
      </c>
      <c r="K9" s="2">
        <v>912.06299999999999</v>
      </c>
      <c r="L9" s="2">
        <v>267.27</v>
      </c>
      <c r="M9" s="2">
        <v>400</v>
      </c>
      <c r="N9" s="2">
        <v>80</v>
      </c>
      <c r="O9" s="2">
        <v>0</v>
      </c>
      <c r="P9" s="2">
        <v>0</v>
      </c>
      <c r="Q9" s="2">
        <v>5000.223</v>
      </c>
      <c r="R9" s="2">
        <v>307.06</v>
      </c>
      <c r="S9" s="2">
        <v>1309803.51</v>
      </c>
      <c r="T9" s="1">
        <v>3.8175367006002296E-3</v>
      </c>
      <c r="W9" t="s">
        <v>20</v>
      </c>
      <c r="X9" t="s">
        <v>21</v>
      </c>
      <c r="Y9">
        <v>2025</v>
      </c>
      <c r="Z9" s="15" t="s">
        <v>89</v>
      </c>
      <c r="AA9" s="2">
        <v>116100.71</v>
      </c>
      <c r="AB9">
        <f>COUNTIFS(FOLHA_ADM[EMPRESA],W9,FOLHA_ADM[[MÊS ]],X9,FOLHA_ADM[[ANO ]],Y9,FOLHA_ADM[DEPARTAMENTO],Z9)</f>
        <v>0</v>
      </c>
      <c r="AC9" s="2">
        <f>SUMIFS(FOLHA_ADM[TOTAL],FOLHA_ADM[EMPRESA],W9,FOLHA_ADM[[MÊS ]],X9,FOLHA_ADM[[ANO ]],Y9,FOLHA_ADM[DEPARTAMENTO],Z9)</f>
        <v>0</v>
      </c>
      <c r="AD9" s="3">
        <f t="shared" si="0"/>
        <v>0</v>
      </c>
    </row>
    <row r="10" spans="1:41" x14ac:dyDescent="0.3">
      <c r="A10" s="30" t="s">
        <v>0</v>
      </c>
      <c r="B10" s="30" t="s">
        <v>20</v>
      </c>
      <c r="C10" s="30" t="s">
        <v>21</v>
      </c>
      <c r="D10">
        <v>2025</v>
      </c>
      <c r="E10">
        <v>195</v>
      </c>
      <c r="F10" s="30" t="s">
        <v>40</v>
      </c>
      <c r="G10" s="30" t="s">
        <v>29</v>
      </c>
      <c r="H10" s="30" t="s">
        <v>30</v>
      </c>
      <c r="I10" s="2">
        <v>2360.9699999999998</v>
      </c>
      <c r="J10" s="2">
        <v>2062.91</v>
      </c>
      <c r="K10" s="2">
        <v>563.17439999999999</v>
      </c>
      <c r="L10" s="2">
        <v>165.03</v>
      </c>
      <c r="M10" s="2">
        <v>308</v>
      </c>
      <c r="N10" s="2">
        <v>0</v>
      </c>
      <c r="O10" s="2">
        <v>0</v>
      </c>
      <c r="P10" s="2">
        <v>306.8</v>
      </c>
      <c r="Q10" s="2">
        <v>3703.9744000000001</v>
      </c>
      <c r="R10" s="2">
        <v>41.46</v>
      </c>
      <c r="S10" s="2">
        <v>1309803.51</v>
      </c>
      <c r="T10" s="1">
        <v>2.8278855581933809E-3</v>
      </c>
      <c r="W10" t="s">
        <v>20</v>
      </c>
      <c r="X10" t="s">
        <v>21</v>
      </c>
      <c r="Y10">
        <v>2025</v>
      </c>
      <c r="Z10" s="15" t="s">
        <v>125</v>
      </c>
      <c r="AA10" s="2">
        <v>0</v>
      </c>
      <c r="AB10">
        <f>COUNTIFS(FOLHA_ADM[EMPRESA],W10,FOLHA_ADM[[MÊS ]],X10,FOLHA_ADM[[ANO ]],Y10,FOLHA_ADM[DEPARTAMENTO],Z10)</f>
        <v>0</v>
      </c>
      <c r="AC10" s="2">
        <f>SUMIFS(FOLHA_ADM[TOTAL],FOLHA_ADM[EMPRESA],W10,FOLHA_ADM[[MÊS ]],X10,FOLHA_ADM[[ANO ]],Y10,FOLHA_ADM[DEPARTAMENTO],Z10)</f>
        <v>0</v>
      </c>
      <c r="AD10" s="3">
        <f t="shared" si="0"/>
        <v>0</v>
      </c>
    </row>
    <row r="11" spans="1:41" x14ac:dyDescent="0.3">
      <c r="A11" s="30" t="s">
        <v>0</v>
      </c>
      <c r="B11" s="30" t="s">
        <v>20</v>
      </c>
      <c r="C11" s="30" t="s">
        <v>21</v>
      </c>
      <c r="D11">
        <v>2025</v>
      </c>
      <c r="E11">
        <v>172</v>
      </c>
      <c r="F11" s="30" t="s">
        <v>41</v>
      </c>
      <c r="G11" s="30" t="s">
        <v>42</v>
      </c>
      <c r="H11" s="30" t="s">
        <v>43</v>
      </c>
      <c r="I11" s="2">
        <v>2430.2600000000002</v>
      </c>
      <c r="J11" s="2">
        <v>1385.3</v>
      </c>
      <c r="K11" s="2">
        <v>378.18689999999998</v>
      </c>
      <c r="L11" s="2">
        <v>110.82</v>
      </c>
      <c r="M11" s="2">
        <v>0</v>
      </c>
      <c r="N11" s="2">
        <v>0</v>
      </c>
      <c r="O11" s="2">
        <v>0</v>
      </c>
      <c r="P11" s="2">
        <v>0</v>
      </c>
      <c r="Q11" s="2">
        <v>2919.2669000000001</v>
      </c>
      <c r="R11" s="2">
        <v>0</v>
      </c>
      <c r="S11" s="2">
        <v>1309803.51</v>
      </c>
      <c r="T11" s="1">
        <v>2.2287823156009103E-3</v>
      </c>
      <c r="W11" t="s">
        <v>20</v>
      </c>
      <c r="X11" t="s">
        <v>21</v>
      </c>
      <c r="Y11">
        <v>2025</v>
      </c>
      <c r="Z11" s="15" t="s">
        <v>217</v>
      </c>
      <c r="AA11" s="2">
        <v>1309803.51</v>
      </c>
      <c r="AB11">
        <f>COUNTIFS(FOLHA_ADM[EMPRESA],W11,FOLHA_ADM[[MÊS ]],X11,FOLHA_ADM[[ANO ]],Y11,FOLHA_ADM[DEPARTAMENTO],Z11)</f>
        <v>0</v>
      </c>
      <c r="AC11" s="2">
        <f>SUMIFS(FOLHA_ADM[TOTAL],FOLHA_ADM[EMPRESA],W11,FOLHA_ADM[[MÊS ]],X11,FOLHA_ADM[[ANO ]],Y11,FOLHA_ADM[DEPARTAMENTO],Z11)</f>
        <v>0</v>
      </c>
      <c r="AD11" s="3">
        <f t="shared" si="0"/>
        <v>0</v>
      </c>
    </row>
    <row r="12" spans="1:41" x14ac:dyDescent="0.3">
      <c r="A12" s="30" t="s">
        <v>0</v>
      </c>
      <c r="B12" s="30" t="s">
        <v>20</v>
      </c>
      <c r="C12" s="30" t="s">
        <v>21</v>
      </c>
      <c r="D12">
        <v>2025</v>
      </c>
      <c r="E12">
        <v>189</v>
      </c>
      <c r="F12" s="30" t="s">
        <v>44</v>
      </c>
      <c r="G12" s="30" t="s">
        <v>29</v>
      </c>
      <c r="H12" s="30" t="s">
        <v>30</v>
      </c>
      <c r="I12" s="2">
        <v>2520.19</v>
      </c>
      <c r="J12" s="2">
        <v>2446.9699999999998</v>
      </c>
      <c r="K12" s="2">
        <v>668.02279999999996</v>
      </c>
      <c r="L12" s="2">
        <v>195.75</v>
      </c>
      <c r="M12" s="2">
        <v>322</v>
      </c>
      <c r="N12" s="2">
        <v>0</v>
      </c>
      <c r="O12" s="2">
        <v>0</v>
      </c>
      <c r="P12" s="2">
        <v>0</v>
      </c>
      <c r="Q12" s="2">
        <v>3705.9627999999998</v>
      </c>
      <c r="R12" s="2">
        <v>179.76</v>
      </c>
      <c r="S12" s="2">
        <v>1309803.51</v>
      </c>
      <c r="T12" s="1">
        <v>2.8294036332212912E-3</v>
      </c>
      <c r="W12" s="16" t="s">
        <v>119</v>
      </c>
      <c r="X12" s="16" t="s">
        <v>21</v>
      </c>
      <c r="Y12" s="16">
        <v>2025</v>
      </c>
      <c r="Z12" s="15" t="s">
        <v>23</v>
      </c>
      <c r="AA12" s="17">
        <v>2348338.65</v>
      </c>
      <c r="AB12" s="16">
        <f>COUNTIFS(FOLHA_ADM[EMPRESA],W12,FOLHA_ADM[[MÊS ]],X12,FOLHA_ADM[[ANO ]],Y12,FOLHA_ADM[DEPARTAMENTO],Z12)</f>
        <v>4</v>
      </c>
      <c r="AC12" s="17">
        <f>SUMIFS(FOLHA_ADM[TOTAL],FOLHA_ADM[EMPRESA],W12,FOLHA_ADM[[MÊS ]],X12,FOLHA_ADM[[ANO ]],Y12,FOLHA_ADM[DEPARTAMENTO],Z12)</f>
        <v>19963.810000000001</v>
      </c>
      <c r="AD12" s="18">
        <f t="shared" si="0"/>
        <v>587084.66249999998</v>
      </c>
    </row>
    <row r="13" spans="1:41" x14ac:dyDescent="0.3">
      <c r="A13" s="30" t="s">
        <v>0</v>
      </c>
      <c r="B13" s="30" t="s">
        <v>20</v>
      </c>
      <c r="C13" s="30" t="s">
        <v>21</v>
      </c>
      <c r="D13">
        <v>2025</v>
      </c>
      <c r="E13">
        <v>147</v>
      </c>
      <c r="F13" s="30" t="s">
        <v>45</v>
      </c>
      <c r="G13" s="30" t="s">
        <v>29</v>
      </c>
      <c r="H13" s="30" t="s">
        <v>30</v>
      </c>
      <c r="I13" s="2">
        <v>2518.6999999999998</v>
      </c>
      <c r="J13" s="2">
        <v>2413.61</v>
      </c>
      <c r="K13" s="2">
        <v>658.91549999999995</v>
      </c>
      <c r="L13" s="2">
        <v>193.08</v>
      </c>
      <c r="M13" s="2">
        <v>308</v>
      </c>
      <c r="N13" s="2">
        <v>80</v>
      </c>
      <c r="O13" s="2">
        <v>0</v>
      </c>
      <c r="P13" s="2">
        <v>0</v>
      </c>
      <c r="Q13" s="2">
        <v>3758.6954999999998</v>
      </c>
      <c r="R13" s="2">
        <v>174.36</v>
      </c>
      <c r="S13" s="2">
        <v>1309803.51</v>
      </c>
      <c r="T13" s="1">
        <v>2.8696636566503016E-3</v>
      </c>
      <c r="W13" s="16" t="s">
        <v>119</v>
      </c>
      <c r="X13" s="16" t="s">
        <v>21</v>
      </c>
      <c r="Y13" s="16">
        <v>2025</v>
      </c>
      <c r="Z13" s="15" t="s">
        <v>26</v>
      </c>
      <c r="AA13" s="17">
        <v>201237.88</v>
      </c>
      <c r="AB13" s="16">
        <f>COUNTIFS(FOLHA_ADM[EMPRESA],W13,FOLHA_ADM[[MÊS ]],X13,FOLHA_ADM[[ANO ]],Y13,FOLHA_ADM[DEPARTAMENTO],Z13)</f>
        <v>8</v>
      </c>
      <c r="AC13" s="17">
        <f>SUMIFS(FOLHA_ADM[TOTAL],FOLHA_ADM[EMPRESA],W13,FOLHA_ADM[[MÊS ]],X13,FOLHA_ADM[[ANO ]],Y13,FOLHA_ADM[DEPARTAMENTO],Z13)</f>
        <v>26985.6806</v>
      </c>
      <c r="AD13" s="18">
        <f t="shared" si="0"/>
        <v>25154.735000000001</v>
      </c>
    </row>
    <row r="14" spans="1:41" x14ac:dyDescent="0.3">
      <c r="A14" s="30" t="s">
        <v>0</v>
      </c>
      <c r="B14" s="30" t="s">
        <v>20</v>
      </c>
      <c r="C14" s="30" t="s">
        <v>21</v>
      </c>
      <c r="D14">
        <v>2025</v>
      </c>
      <c r="E14">
        <v>191</v>
      </c>
      <c r="F14" s="30" t="s">
        <v>46</v>
      </c>
      <c r="G14" s="30" t="s">
        <v>29</v>
      </c>
      <c r="H14" s="30" t="s">
        <v>30</v>
      </c>
      <c r="I14" s="2">
        <v>2504.1999999999998</v>
      </c>
      <c r="J14" s="2">
        <v>2375.61</v>
      </c>
      <c r="K14" s="2">
        <v>648.54150000000004</v>
      </c>
      <c r="L14" s="2">
        <v>190.04</v>
      </c>
      <c r="M14" s="2">
        <v>322</v>
      </c>
      <c r="N14" s="2">
        <v>0</v>
      </c>
      <c r="O14" s="2">
        <v>0</v>
      </c>
      <c r="P14" s="2">
        <v>306.8</v>
      </c>
      <c r="Q14" s="2">
        <v>3971.5814999999998</v>
      </c>
      <c r="R14" s="2">
        <v>201.04</v>
      </c>
      <c r="S14" s="2">
        <v>1309803.51</v>
      </c>
      <c r="T14" s="1">
        <v>3.0321964322725012E-3</v>
      </c>
      <c r="W14" s="16" t="s">
        <v>119</v>
      </c>
      <c r="X14" s="16" t="s">
        <v>21</v>
      </c>
      <c r="Y14" s="16">
        <v>2025</v>
      </c>
      <c r="Z14" s="15" t="s">
        <v>29</v>
      </c>
      <c r="AA14" s="17">
        <v>2348338.65</v>
      </c>
      <c r="AB14" s="16">
        <f>COUNTIFS(FOLHA_ADM[EMPRESA],W14,FOLHA_ADM[[MÊS ]],X14,FOLHA_ADM[[ANO ]],Y14,FOLHA_ADM[DEPARTAMENTO],Z14)</f>
        <v>16</v>
      </c>
      <c r="AC14" s="17">
        <f>SUMIFS(FOLHA_ADM[TOTAL],FOLHA_ADM[EMPRESA],W14,FOLHA_ADM[[MÊS ]],X14,FOLHA_ADM[[ANO ]],Y14,FOLHA_ADM[DEPARTAMENTO],Z14)</f>
        <v>57969.693500000001</v>
      </c>
      <c r="AD14" s="18">
        <f t="shared" si="0"/>
        <v>146771.16562499999</v>
      </c>
    </row>
    <row r="15" spans="1:41" x14ac:dyDescent="0.3">
      <c r="A15" s="30" t="s">
        <v>0</v>
      </c>
      <c r="B15" s="30" t="s">
        <v>20</v>
      </c>
      <c r="C15" s="30" t="s">
        <v>21</v>
      </c>
      <c r="D15">
        <v>2025</v>
      </c>
      <c r="E15">
        <v>194</v>
      </c>
      <c r="F15" s="30" t="s">
        <v>47</v>
      </c>
      <c r="G15" s="30" t="s">
        <v>29</v>
      </c>
      <c r="H15" s="30" t="s">
        <v>30</v>
      </c>
      <c r="I15" s="2">
        <v>2660</v>
      </c>
      <c r="J15" s="2">
        <v>2557.42</v>
      </c>
      <c r="K15" s="2">
        <v>698.17570000000001</v>
      </c>
      <c r="L15" s="2">
        <v>204.59</v>
      </c>
      <c r="M15" s="2">
        <v>308</v>
      </c>
      <c r="N15" s="2">
        <v>80</v>
      </c>
      <c r="O15" s="2">
        <v>0</v>
      </c>
      <c r="P15" s="2">
        <v>0</v>
      </c>
      <c r="Q15" s="2">
        <v>3950.7656999999999</v>
      </c>
      <c r="R15" s="2">
        <v>426.78</v>
      </c>
      <c r="S15" s="2">
        <v>1309803.51</v>
      </c>
      <c r="T15" s="1">
        <v>3.016304071440456E-3</v>
      </c>
      <c r="W15" s="16" t="s">
        <v>119</v>
      </c>
      <c r="X15" s="16" t="s">
        <v>21</v>
      </c>
      <c r="Y15" s="16">
        <v>2025</v>
      </c>
      <c r="Z15" s="15" t="s">
        <v>33</v>
      </c>
      <c r="AA15" s="17">
        <v>1408573.46</v>
      </c>
      <c r="AB15" s="16">
        <f>COUNTIFS(FOLHA_ADM[EMPRESA],W15,FOLHA_ADM[[MÊS ]],X15,FOLHA_ADM[[ANO ]],Y15,FOLHA_ADM[DEPARTAMENTO],Z15)</f>
        <v>20</v>
      </c>
      <c r="AC15" s="17">
        <f>SUMIFS(FOLHA_ADM[TOTAL],FOLHA_ADM[EMPRESA],W15,FOLHA_ADM[[MÊS ]],X15,FOLHA_ADM[[ANO ]],Y15,FOLHA_ADM[DEPARTAMENTO],Z15)</f>
        <v>62129.043600000005</v>
      </c>
      <c r="AD15" s="18">
        <f t="shared" si="0"/>
        <v>70428.672999999995</v>
      </c>
    </row>
    <row r="16" spans="1:41" x14ac:dyDescent="0.3">
      <c r="A16" s="30" t="s">
        <v>0</v>
      </c>
      <c r="B16" s="30" t="s">
        <v>20</v>
      </c>
      <c r="C16" s="30" t="s">
        <v>21</v>
      </c>
      <c r="D16">
        <v>2025</v>
      </c>
      <c r="E16">
        <v>187</v>
      </c>
      <c r="F16" s="30" t="s">
        <v>48</v>
      </c>
      <c r="G16" s="30" t="s">
        <v>33</v>
      </c>
      <c r="H16" s="30" t="s">
        <v>34</v>
      </c>
      <c r="I16" s="2">
        <v>2507.94</v>
      </c>
      <c r="J16" s="2">
        <v>2469.4899999999998</v>
      </c>
      <c r="K16" s="2">
        <v>674.17079999999999</v>
      </c>
      <c r="L16" s="2">
        <v>197.55</v>
      </c>
      <c r="M16" s="2">
        <v>322</v>
      </c>
      <c r="N16" s="2">
        <v>0</v>
      </c>
      <c r="O16" s="2">
        <v>0</v>
      </c>
      <c r="P16" s="2">
        <v>0</v>
      </c>
      <c r="Q16" s="2">
        <v>3701.6608000000001</v>
      </c>
      <c r="R16" s="2">
        <v>157.47</v>
      </c>
      <c r="S16" s="2">
        <v>1309803.51</v>
      </c>
      <c r="T16" s="1">
        <v>2.8261191405724662E-3</v>
      </c>
      <c r="W16" s="16" t="s">
        <v>119</v>
      </c>
      <c r="X16" s="16" t="s">
        <v>21</v>
      </c>
      <c r="Y16" s="16">
        <v>2025</v>
      </c>
      <c r="Z16" s="15" t="s">
        <v>39</v>
      </c>
      <c r="AA16" s="17">
        <v>411981.53</v>
      </c>
      <c r="AB16" s="16">
        <f>COUNTIFS(FOLHA_ADM[EMPRESA],W16,FOLHA_ADM[[MÊS ]],X16,FOLHA_ADM[[ANO ]],Y16,FOLHA_ADM[DEPARTAMENTO],Z16)</f>
        <v>8</v>
      </c>
      <c r="AC16" s="17">
        <f>SUMIFS(FOLHA_ADM[TOTAL],FOLHA_ADM[EMPRESA],W16,FOLHA_ADM[[MÊS ]],X16,FOLHA_ADM[[ANO ]],Y16,FOLHA_ADM[DEPARTAMENTO],Z16)</f>
        <v>28191.695599999999</v>
      </c>
      <c r="AD16" s="18">
        <f t="shared" si="0"/>
        <v>51497.691250000003</v>
      </c>
    </row>
    <row r="17" spans="1:30" x14ac:dyDescent="0.3">
      <c r="A17" s="30" t="s">
        <v>0</v>
      </c>
      <c r="B17" s="30" t="s">
        <v>20</v>
      </c>
      <c r="C17" s="30" t="s">
        <v>21</v>
      </c>
      <c r="D17">
        <v>2025</v>
      </c>
      <c r="E17">
        <v>198</v>
      </c>
      <c r="F17" s="30" t="s">
        <v>49</v>
      </c>
      <c r="G17" s="30" t="s">
        <v>33</v>
      </c>
      <c r="H17" s="30" t="s">
        <v>50</v>
      </c>
      <c r="I17" s="2">
        <v>2244.8000000000002</v>
      </c>
      <c r="J17" s="2">
        <v>2244.8000000000002</v>
      </c>
      <c r="K17" s="2">
        <v>612.83040000000005</v>
      </c>
      <c r="L17" s="2">
        <v>179.58</v>
      </c>
      <c r="M17" s="2">
        <v>308</v>
      </c>
      <c r="N17" s="2">
        <v>0</v>
      </c>
      <c r="O17" s="2">
        <v>0</v>
      </c>
      <c r="P17" s="2">
        <v>0</v>
      </c>
      <c r="Q17" s="2">
        <v>3345.2103999999999</v>
      </c>
      <c r="R17" s="2">
        <v>269.8</v>
      </c>
      <c r="S17" s="2">
        <v>1309803.51</v>
      </c>
      <c r="T17" s="1">
        <v>2.5539788025151959E-3</v>
      </c>
      <c r="W17" s="16" t="s">
        <v>119</v>
      </c>
      <c r="X17" s="16" t="s">
        <v>21</v>
      </c>
      <c r="Y17" s="16">
        <v>2025</v>
      </c>
      <c r="Z17" s="15" t="s">
        <v>42</v>
      </c>
      <c r="AA17" s="17">
        <v>2348338.65</v>
      </c>
      <c r="AB17" s="16">
        <f>COUNTIFS(FOLHA_ADM[EMPRESA],W17,FOLHA_ADM[[MÊS ]],X17,FOLHA_ADM[[ANO ]],Y17,FOLHA_ADM[DEPARTAMENTO],Z17)</f>
        <v>2</v>
      </c>
      <c r="AC17" s="17">
        <f>SUMIFS(FOLHA_ADM[TOTAL],FOLHA_ADM[EMPRESA],W17,FOLHA_ADM[[MÊS ]],X17,FOLHA_ADM[[ANO ]],Y17,FOLHA_ADM[DEPARTAMENTO],Z17)</f>
        <v>4487.92</v>
      </c>
      <c r="AD17" s="18">
        <f t="shared" si="0"/>
        <v>1174169.325</v>
      </c>
    </row>
    <row r="18" spans="1:30" x14ac:dyDescent="0.3">
      <c r="A18" s="30" t="s">
        <v>0</v>
      </c>
      <c r="B18" s="30" t="s">
        <v>20</v>
      </c>
      <c r="C18" s="30" t="s">
        <v>21</v>
      </c>
      <c r="D18">
        <v>2025</v>
      </c>
      <c r="E18">
        <v>182</v>
      </c>
      <c r="F18" s="30" t="s">
        <v>51</v>
      </c>
      <c r="G18" s="30" t="s">
        <v>29</v>
      </c>
      <c r="H18" s="30" t="s">
        <v>30</v>
      </c>
      <c r="I18" s="2">
        <v>2844.64</v>
      </c>
      <c r="J18" s="2">
        <v>1449.37</v>
      </c>
      <c r="K18" s="2">
        <v>395.678</v>
      </c>
      <c r="L18" s="2">
        <v>146.94</v>
      </c>
      <c r="M18" s="2">
        <v>336</v>
      </c>
      <c r="N18" s="2">
        <v>0</v>
      </c>
      <c r="O18" s="2">
        <v>0</v>
      </c>
      <c r="P18" s="2">
        <v>210.3</v>
      </c>
      <c r="Q18" s="2">
        <v>3933.558</v>
      </c>
      <c r="R18" s="2">
        <v>0</v>
      </c>
      <c r="S18" s="2">
        <v>1309803.51</v>
      </c>
      <c r="T18" s="1">
        <v>3.003166490216536E-3</v>
      </c>
      <c r="W18" s="16" t="s">
        <v>119</v>
      </c>
      <c r="X18" s="16" t="s">
        <v>21</v>
      </c>
      <c r="Y18" s="16">
        <v>2025</v>
      </c>
      <c r="Z18" s="15" t="s">
        <v>76</v>
      </c>
      <c r="AA18" s="17">
        <v>2348338.65</v>
      </c>
      <c r="AB18" s="16">
        <f>COUNTIFS(FOLHA_ADM[EMPRESA],W18,FOLHA_ADM[[MÊS ]],X18,FOLHA_ADM[[ANO ]],Y18,FOLHA_ADM[DEPARTAMENTO],Z18)</f>
        <v>1</v>
      </c>
      <c r="AC18" s="17">
        <f>SUMIFS(FOLHA_ADM[TOTAL],FOLHA_ADM[EMPRESA],W18,FOLHA_ADM[[MÊS ]],X18,FOLHA_ADM[[ANO ]],Y18,FOLHA_ADM[DEPARTAMENTO],Z18)</f>
        <v>9788.8919999999998</v>
      </c>
      <c r="AD18" s="18">
        <f t="shared" si="0"/>
        <v>2348338.65</v>
      </c>
    </row>
    <row r="19" spans="1:30" x14ac:dyDescent="0.3">
      <c r="A19" s="30" t="s">
        <v>0</v>
      </c>
      <c r="B19" s="30" t="s">
        <v>20</v>
      </c>
      <c r="C19" s="30" t="s">
        <v>21</v>
      </c>
      <c r="D19">
        <v>2025</v>
      </c>
      <c r="E19">
        <v>197</v>
      </c>
      <c r="F19" s="30" t="s">
        <v>52</v>
      </c>
      <c r="G19" s="30" t="s">
        <v>29</v>
      </c>
      <c r="H19" s="30" t="s">
        <v>30</v>
      </c>
      <c r="I19" s="2">
        <v>2474.87</v>
      </c>
      <c r="J19" s="2">
        <v>2474.87</v>
      </c>
      <c r="K19" s="2">
        <v>675.6395</v>
      </c>
      <c r="L19" s="2">
        <v>197.98</v>
      </c>
      <c r="M19" s="2">
        <v>322</v>
      </c>
      <c r="N19" s="2">
        <v>80</v>
      </c>
      <c r="O19" s="2">
        <v>0</v>
      </c>
      <c r="P19" s="2">
        <v>306.8</v>
      </c>
      <c r="Q19" s="2">
        <v>4057.2894999999999</v>
      </c>
      <c r="R19" s="2">
        <v>253.87</v>
      </c>
      <c r="S19" s="2">
        <v>1309803.51</v>
      </c>
      <c r="T19" s="1">
        <v>3.0976321860673589E-3</v>
      </c>
      <c r="W19" s="16" t="s">
        <v>119</v>
      </c>
      <c r="X19" s="16" t="s">
        <v>21</v>
      </c>
      <c r="Y19" s="16">
        <v>2025</v>
      </c>
      <c r="Z19" s="15" t="s">
        <v>89</v>
      </c>
      <c r="AA19" s="17">
        <v>265388.73</v>
      </c>
      <c r="AB19" s="16">
        <f>COUNTIFS(FOLHA_ADM[EMPRESA],W19,FOLHA_ADM[[MÊS ]],X19,FOLHA_ADM[[ANO ]],Y19,FOLHA_ADM[DEPARTAMENTO],Z19)</f>
        <v>4</v>
      </c>
      <c r="AC19" s="17">
        <f>SUMIFS(FOLHA_ADM[TOTAL],FOLHA_ADM[EMPRESA],W19,FOLHA_ADM[[MÊS ]],X19,FOLHA_ADM[[ANO ]],Y19,FOLHA_ADM[DEPARTAMENTO],Z19)</f>
        <v>14268.532800000001</v>
      </c>
      <c r="AD19" s="18">
        <f t="shared" si="0"/>
        <v>66347.182499999995</v>
      </c>
    </row>
    <row r="20" spans="1:30" x14ac:dyDescent="0.3">
      <c r="A20" s="30" t="s">
        <v>0</v>
      </c>
      <c r="B20" s="30" t="s">
        <v>20</v>
      </c>
      <c r="C20" s="30" t="s">
        <v>21</v>
      </c>
      <c r="D20">
        <v>2025</v>
      </c>
      <c r="E20">
        <v>155</v>
      </c>
      <c r="F20" s="30" t="s">
        <v>53</v>
      </c>
      <c r="G20" s="30" t="s">
        <v>29</v>
      </c>
      <c r="H20" s="30" t="s">
        <v>30</v>
      </c>
      <c r="I20" s="2">
        <v>2452.2600000000002</v>
      </c>
      <c r="J20" s="2">
        <v>2390.63</v>
      </c>
      <c r="K20" s="2">
        <v>652.64200000000005</v>
      </c>
      <c r="L20" s="2">
        <v>191.25</v>
      </c>
      <c r="M20" s="2">
        <v>322</v>
      </c>
      <c r="N20" s="2">
        <v>0</v>
      </c>
      <c r="O20" s="2">
        <v>0</v>
      </c>
      <c r="P20" s="2">
        <v>0</v>
      </c>
      <c r="Q20" s="2">
        <v>3618.152</v>
      </c>
      <c r="R20" s="2">
        <v>121.16</v>
      </c>
      <c r="S20" s="2">
        <v>1309803.51</v>
      </c>
      <c r="T20" s="1">
        <v>2.7623624172453168E-3</v>
      </c>
      <c r="W20" s="16" t="s">
        <v>119</v>
      </c>
      <c r="X20" s="16" t="s">
        <v>21</v>
      </c>
      <c r="Y20" s="16">
        <v>2025</v>
      </c>
      <c r="Z20" s="15" t="s">
        <v>125</v>
      </c>
      <c r="AA20" s="17">
        <v>110992.86</v>
      </c>
      <c r="AB20" s="16">
        <f>COUNTIFS(FOLHA_ADM[EMPRESA],W20,FOLHA_ADM[[MÊS ]],X20,FOLHA_ADM[[ANO ]],Y20,FOLHA_ADM[DEPARTAMENTO],Z20)</f>
        <v>8</v>
      </c>
      <c r="AC20" s="17">
        <f>SUMIFS(FOLHA_ADM[TOTAL],FOLHA_ADM[EMPRESA],W20,FOLHA_ADM[[MÊS ]],X20,FOLHA_ADM[[ANO ]],Y20,FOLHA_ADM[DEPARTAMENTO],Z20)</f>
        <v>24443.8629</v>
      </c>
      <c r="AD20" s="18">
        <f t="shared" si="0"/>
        <v>13874.1075</v>
      </c>
    </row>
    <row r="21" spans="1:30" x14ac:dyDescent="0.3">
      <c r="A21" s="30" t="s">
        <v>0</v>
      </c>
      <c r="B21" s="30" t="s">
        <v>20</v>
      </c>
      <c r="C21" s="30" t="s">
        <v>21</v>
      </c>
      <c r="D21">
        <v>2025</v>
      </c>
      <c r="E21">
        <v>116</v>
      </c>
      <c r="F21" s="30" t="s">
        <v>54</v>
      </c>
      <c r="G21" s="30" t="s">
        <v>39</v>
      </c>
      <c r="H21" s="30" t="s">
        <v>55</v>
      </c>
      <c r="I21" s="2">
        <v>2375.0700000000002</v>
      </c>
      <c r="J21" s="2">
        <v>2345.06</v>
      </c>
      <c r="K21" s="2">
        <v>640.20140000000004</v>
      </c>
      <c r="L21" s="2">
        <v>187.6</v>
      </c>
      <c r="M21" s="2">
        <v>322</v>
      </c>
      <c r="N21" s="2">
        <v>0</v>
      </c>
      <c r="O21" s="2">
        <v>0</v>
      </c>
      <c r="P21" s="2">
        <v>0</v>
      </c>
      <c r="Q21" s="2">
        <v>3524.8714</v>
      </c>
      <c r="R21" s="2">
        <v>14.25</v>
      </c>
      <c r="S21" s="2">
        <v>1309803.51</v>
      </c>
      <c r="T21" s="1">
        <v>2.6911451626816913E-3</v>
      </c>
      <c r="W21" s="16" t="s">
        <v>119</v>
      </c>
      <c r="X21" s="16" t="s">
        <v>21</v>
      </c>
      <c r="Y21" s="16">
        <v>2025</v>
      </c>
      <c r="Z21" s="19" t="s">
        <v>217</v>
      </c>
      <c r="AA21" s="17">
        <v>2348338.65</v>
      </c>
      <c r="AB21" s="16">
        <f>COUNTIFS(FOLHA_ADM[EMPRESA],W21,FOLHA_ADM[[MÊS ]],X21,FOLHA_ADM[[ANO ]],Y21,FOLHA_ADM[DEPARTAMENTO],Z21)</f>
        <v>0</v>
      </c>
      <c r="AC21" s="17">
        <f>SUMIFS(FOLHA_ADM[TOTAL],FOLHA_ADM[EMPRESA],W21,FOLHA_ADM[[MÊS ]],X21,FOLHA_ADM[[ANO ]],Y21,FOLHA_ADM[DEPARTAMENTO],Z21)</f>
        <v>0</v>
      </c>
      <c r="AD21" s="18">
        <f t="shared" si="0"/>
        <v>0</v>
      </c>
    </row>
    <row r="22" spans="1:30" x14ac:dyDescent="0.3">
      <c r="A22" s="30" t="s">
        <v>0</v>
      </c>
      <c r="B22" s="30" t="s">
        <v>20</v>
      </c>
      <c r="C22" s="30" t="s">
        <v>21</v>
      </c>
      <c r="D22">
        <v>2025</v>
      </c>
      <c r="E22">
        <v>192</v>
      </c>
      <c r="F22" s="30" t="s">
        <v>56</v>
      </c>
      <c r="G22" s="30" t="s">
        <v>39</v>
      </c>
      <c r="H22" s="30" t="s">
        <v>57</v>
      </c>
      <c r="I22" s="2">
        <v>2558.5700000000002</v>
      </c>
      <c r="J22" s="2">
        <v>2494.62</v>
      </c>
      <c r="K22" s="2">
        <v>681.03129999999999</v>
      </c>
      <c r="L22" s="2">
        <v>199.56</v>
      </c>
      <c r="M22" s="2">
        <v>308</v>
      </c>
      <c r="N22" s="2">
        <v>0</v>
      </c>
      <c r="O22" s="2">
        <v>0</v>
      </c>
      <c r="P22" s="2">
        <v>306.8</v>
      </c>
      <c r="Q22" s="2">
        <v>4053.9612999999999</v>
      </c>
      <c r="R22" s="2">
        <v>45.69</v>
      </c>
      <c r="S22" s="2">
        <v>1309803.51</v>
      </c>
      <c r="T22" s="1">
        <v>3.095091156077296E-3</v>
      </c>
      <c r="W22" s="16" t="s">
        <v>72</v>
      </c>
      <c r="X22" s="16" t="s">
        <v>21</v>
      </c>
      <c r="Y22" s="16">
        <v>2025</v>
      </c>
      <c r="Z22" s="15" t="s">
        <v>23</v>
      </c>
      <c r="AA22" s="17">
        <v>1657043.9</v>
      </c>
      <c r="AB22" s="16">
        <f>COUNTIFS(FOLHA_ADM[EMPRESA],W22,FOLHA_ADM[[MÊS ]],X22,FOLHA_ADM[[ANO ]],Y22,FOLHA_ADM[DEPARTAMENTO],Z22)</f>
        <v>3</v>
      </c>
      <c r="AC22" s="17">
        <f>SUMIFS(FOLHA_ADM[TOTAL],FOLHA_ADM[EMPRESA],W22,FOLHA_ADM[[MÊS ]],X22,FOLHA_ADM[[ANO ]],Y22,FOLHA_ADM[DEPARTAMENTO],Z22)</f>
        <v>17185.079999999998</v>
      </c>
      <c r="AD22" s="18">
        <f t="shared" si="0"/>
        <v>552347.96666666667</v>
      </c>
    </row>
    <row r="23" spans="1:30" x14ac:dyDescent="0.3">
      <c r="A23" s="30" t="s">
        <v>0</v>
      </c>
      <c r="B23" s="30" t="s">
        <v>20</v>
      </c>
      <c r="C23" s="30" t="s">
        <v>21</v>
      </c>
      <c r="D23">
        <v>2025</v>
      </c>
      <c r="E23">
        <v>173</v>
      </c>
      <c r="F23" s="30" t="s">
        <v>58</v>
      </c>
      <c r="G23" s="30" t="s">
        <v>39</v>
      </c>
      <c r="H23" s="30" t="s">
        <v>27</v>
      </c>
      <c r="I23" s="2">
        <v>2201.8000000000002</v>
      </c>
      <c r="J23" s="2">
        <v>2143.23</v>
      </c>
      <c r="K23" s="2">
        <v>585.10180000000003</v>
      </c>
      <c r="L23" s="2">
        <v>171.45</v>
      </c>
      <c r="M23" s="2">
        <v>322</v>
      </c>
      <c r="N23" s="2">
        <v>0</v>
      </c>
      <c r="O23" s="2">
        <v>0</v>
      </c>
      <c r="P23" s="2">
        <v>0</v>
      </c>
      <c r="Q23" s="2">
        <v>3280.3517999999999</v>
      </c>
      <c r="R23" s="2">
        <v>9.17</v>
      </c>
      <c r="S23" s="2">
        <v>1309803.51</v>
      </c>
      <c r="T23" s="1">
        <v>2.5044609859077261E-3</v>
      </c>
      <c r="W23" s="16" t="s">
        <v>72</v>
      </c>
      <c r="X23" s="16" t="s">
        <v>21</v>
      </c>
      <c r="Y23" s="16">
        <v>2025</v>
      </c>
      <c r="Z23" s="15" t="s">
        <v>26</v>
      </c>
      <c r="AA23" s="17">
        <v>168795.51999999999</v>
      </c>
      <c r="AB23" s="16">
        <f>COUNTIFS(FOLHA_ADM[EMPRESA],W23,FOLHA_ADM[[MÊS ]],X23,FOLHA_ADM[[ANO ]],Y23,FOLHA_ADM[DEPARTAMENTO],Z23)</f>
        <v>6</v>
      </c>
      <c r="AC23" s="17">
        <f>SUMIFS(FOLHA_ADM[TOTAL],FOLHA_ADM[EMPRESA],W23,FOLHA_ADM[[MÊS ]],X23,FOLHA_ADM[[ANO ]],Y23,FOLHA_ADM[DEPARTAMENTO],Z23)</f>
        <v>18777.8128</v>
      </c>
      <c r="AD23" s="18">
        <f t="shared" si="0"/>
        <v>28132.586666666666</v>
      </c>
    </row>
    <row r="24" spans="1:30" x14ac:dyDescent="0.3">
      <c r="A24" s="30" t="s">
        <v>0</v>
      </c>
      <c r="B24" s="30" t="s">
        <v>20</v>
      </c>
      <c r="C24" s="30" t="s">
        <v>21</v>
      </c>
      <c r="D24">
        <v>2025</v>
      </c>
      <c r="E24">
        <v>154</v>
      </c>
      <c r="F24" s="30" t="s">
        <v>59</v>
      </c>
      <c r="G24" s="30" t="s">
        <v>26</v>
      </c>
      <c r="H24" s="30" t="s">
        <v>60</v>
      </c>
      <c r="I24" s="2">
        <v>2203.9899999999998</v>
      </c>
      <c r="J24" s="2">
        <v>2129.1799999999998</v>
      </c>
      <c r="K24" s="2">
        <v>581.26610000000005</v>
      </c>
      <c r="L24" s="2">
        <v>170.33</v>
      </c>
      <c r="M24" s="2">
        <v>308</v>
      </c>
      <c r="N24" s="2">
        <v>0</v>
      </c>
      <c r="O24" s="2">
        <v>0</v>
      </c>
      <c r="P24" s="2">
        <v>0</v>
      </c>
      <c r="Q24" s="2">
        <v>3263.5861</v>
      </c>
      <c r="R24" s="2">
        <v>120.16</v>
      </c>
      <c r="S24" s="2">
        <v>1309803.51</v>
      </c>
      <c r="T24" s="1">
        <v>2.4916608598796624E-3</v>
      </c>
      <c r="W24" s="16" t="s">
        <v>72</v>
      </c>
      <c r="X24" s="16" t="s">
        <v>21</v>
      </c>
      <c r="Y24" s="16">
        <v>2025</v>
      </c>
      <c r="Z24" s="15" t="s">
        <v>29</v>
      </c>
      <c r="AA24" s="17">
        <v>1657043.9</v>
      </c>
      <c r="AB24" s="16">
        <f>COUNTIFS(FOLHA_ADM[EMPRESA],W24,FOLHA_ADM[[MÊS ]],X24,FOLHA_ADM[[ANO ]],Y24,FOLHA_ADM[DEPARTAMENTO],Z24)</f>
        <v>15</v>
      </c>
      <c r="AC24" s="17">
        <f>SUMIFS(FOLHA_ADM[TOTAL],FOLHA_ADM[EMPRESA],W24,FOLHA_ADM[[MÊS ]],X24,FOLHA_ADM[[ANO ]],Y24,FOLHA_ADM[DEPARTAMENTO],Z24)</f>
        <v>47579.718800000002</v>
      </c>
      <c r="AD24" s="18">
        <f t="shared" si="0"/>
        <v>110469.59333333332</v>
      </c>
    </row>
    <row r="25" spans="1:30" x14ac:dyDescent="0.3">
      <c r="A25" s="30" t="s">
        <v>0</v>
      </c>
      <c r="B25" s="30" t="s">
        <v>20</v>
      </c>
      <c r="C25" s="30" t="s">
        <v>21</v>
      </c>
      <c r="D25">
        <v>2025</v>
      </c>
      <c r="E25">
        <v>196</v>
      </c>
      <c r="F25" s="30" t="s">
        <v>61</v>
      </c>
      <c r="G25" s="30" t="s">
        <v>33</v>
      </c>
      <c r="H25" s="30" t="s">
        <v>50</v>
      </c>
      <c r="I25" s="2">
        <v>2384.38</v>
      </c>
      <c r="J25" s="2">
        <v>2384.38</v>
      </c>
      <c r="K25" s="2">
        <v>650.9357</v>
      </c>
      <c r="L25" s="2">
        <v>190.75</v>
      </c>
      <c r="M25" s="2">
        <v>308</v>
      </c>
      <c r="N25" s="2">
        <v>80</v>
      </c>
      <c r="O25" s="2">
        <v>0</v>
      </c>
      <c r="P25" s="2">
        <v>306.8</v>
      </c>
      <c r="Q25" s="2">
        <v>3920.8656999999998</v>
      </c>
      <c r="R25" s="2">
        <v>409.38</v>
      </c>
      <c r="S25" s="2">
        <v>1309803.51</v>
      </c>
      <c r="T25" s="1">
        <v>2.9934762810339393E-3</v>
      </c>
      <c r="W25" s="16" t="s">
        <v>72</v>
      </c>
      <c r="X25" s="16" t="s">
        <v>21</v>
      </c>
      <c r="Y25" s="16">
        <v>2025</v>
      </c>
      <c r="Z25" s="15" t="s">
        <v>33</v>
      </c>
      <c r="AA25" s="17">
        <v>1021283.81</v>
      </c>
      <c r="AB25" s="16">
        <f>COUNTIFS(FOLHA_ADM[EMPRESA],W25,FOLHA_ADM[[MÊS ]],X25,FOLHA_ADM[[ANO ]],Y25,FOLHA_ADM[DEPARTAMENTO],Z25)</f>
        <v>14</v>
      </c>
      <c r="AC25" s="17">
        <f>SUMIFS(FOLHA_ADM[TOTAL],FOLHA_ADM[EMPRESA],W25,FOLHA_ADM[[MÊS ]],X25,FOLHA_ADM[[ANO ]],Y25,FOLHA_ADM[DEPARTAMENTO],Z25)</f>
        <v>36133.396999999997</v>
      </c>
      <c r="AD25" s="18">
        <f t="shared" si="0"/>
        <v>72948.843571428573</v>
      </c>
    </row>
    <row r="26" spans="1:30" x14ac:dyDescent="0.3">
      <c r="A26" s="30" t="s">
        <v>0</v>
      </c>
      <c r="B26" s="30" t="s">
        <v>20</v>
      </c>
      <c r="C26" s="30" t="s">
        <v>21</v>
      </c>
      <c r="D26">
        <v>2025</v>
      </c>
      <c r="E26">
        <v>177</v>
      </c>
      <c r="F26" s="30" t="s">
        <v>62</v>
      </c>
      <c r="G26" s="30" t="s">
        <v>39</v>
      </c>
      <c r="H26" s="30" t="s">
        <v>60</v>
      </c>
      <c r="I26" s="2">
        <v>2096.17</v>
      </c>
      <c r="J26" s="2">
        <v>2090.6</v>
      </c>
      <c r="K26" s="2">
        <v>570.73379999999997</v>
      </c>
      <c r="L26" s="2">
        <v>167.24</v>
      </c>
      <c r="M26" s="2">
        <v>322</v>
      </c>
      <c r="N26" s="2">
        <v>0</v>
      </c>
      <c r="O26" s="2">
        <v>0</v>
      </c>
      <c r="P26" s="2">
        <v>0</v>
      </c>
      <c r="Q26" s="2">
        <v>3156.1437999999998</v>
      </c>
      <c r="R26" s="2">
        <v>13.91</v>
      </c>
      <c r="S26" s="2">
        <v>1309803.51</v>
      </c>
      <c r="T26" s="1">
        <v>2.4096315026671442E-3</v>
      </c>
      <c r="W26" s="16" t="s">
        <v>72</v>
      </c>
      <c r="X26" s="16" t="s">
        <v>21</v>
      </c>
      <c r="Y26" s="16">
        <v>2025</v>
      </c>
      <c r="Z26" s="15" t="s">
        <v>39</v>
      </c>
      <c r="AA26" s="17">
        <v>244145.23</v>
      </c>
      <c r="AB26" s="16">
        <f>COUNTIFS(FOLHA_ADM[EMPRESA],W26,FOLHA_ADM[[MÊS ]],X26,FOLHA_ADM[[ANO ]],Y26,FOLHA_ADM[DEPARTAMENTO],Z26)</f>
        <v>7</v>
      </c>
      <c r="AC26" s="17">
        <f>SUMIFS(FOLHA_ADM[TOTAL],FOLHA_ADM[EMPRESA],W26,FOLHA_ADM[[MÊS ]],X26,FOLHA_ADM[[ANO ]],Y26,FOLHA_ADM[DEPARTAMENTO],Z26)</f>
        <v>22533.7284</v>
      </c>
      <c r="AD26" s="18">
        <f t="shared" si="0"/>
        <v>34877.89</v>
      </c>
    </row>
    <row r="27" spans="1:30" x14ac:dyDescent="0.3">
      <c r="A27" s="30" t="s">
        <v>0</v>
      </c>
      <c r="B27" s="30" t="s">
        <v>20</v>
      </c>
      <c r="C27" s="30" t="s">
        <v>21</v>
      </c>
      <c r="D27">
        <v>2025</v>
      </c>
      <c r="E27">
        <v>199</v>
      </c>
      <c r="F27" s="30" t="s">
        <v>63</v>
      </c>
      <c r="G27" s="30" t="s">
        <v>33</v>
      </c>
      <c r="H27" s="30" t="s">
        <v>64</v>
      </c>
      <c r="I27" s="2">
        <v>2033.31</v>
      </c>
      <c r="J27" s="2">
        <v>2033.31</v>
      </c>
      <c r="K27" s="2">
        <v>555.09360000000004</v>
      </c>
      <c r="L27" s="2">
        <v>162.66</v>
      </c>
      <c r="M27" s="2">
        <v>322</v>
      </c>
      <c r="N27" s="2">
        <v>80</v>
      </c>
      <c r="O27" s="2">
        <v>0</v>
      </c>
      <c r="P27" s="2">
        <v>306.8</v>
      </c>
      <c r="Q27" s="2">
        <v>3459.8636000000001</v>
      </c>
      <c r="R27" s="2">
        <v>189.98</v>
      </c>
      <c r="S27" s="2">
        <v>1309803.51</v>
      </c>
      <c r="T27" s="1">
        <v>2.6415134816671852E-3</v>
      </c>
      <c r="W27" s="16" t="s">
        <v>72</v>
      </c>
      <c r="X27" s="16" t="s">
        <v>21</v>
      </c>
      <c r="Y27" s="16">
        <v>2025</v>
      </c>
      <c r="Z27" s="15" t="s">
        <v>42</v>
      </c>
      <c r="AA27" s="17">
        <v>1657043.9</v>
      </c>
      <c r="AB27" s="16">
        <f>COUNTIFS(FOLHA_ADM[EMPRESA],W27,FOLHA_ADM[[MÊS ]],X27,FOLHA_ADM[[ANO ]],Y27,FOLHA_ADM[DEPARTAMENTO],Z27)</f>
        <v>2</v>
      </c>
      <c r="AC27" s="17">
        <f>SUMIFS(FOLHA_ADM[TOTAL],FOLHA_ADM[EMPRESA],W27,FOLHA_ADM[[MÊS ]],X27,FOLHA_ADM[[ANO ]],Y27,FOLHA_ADM[DEPARTAMENTO],Z27)</f>
        <v>7467.8719999999994</v>
      </c>
      <c r="AD27" s="18">
        <f t="shared" si="0"/>
        <v>828521.95</v>
      </c>
    </row>
    <row r="28" spans="1:30" x14ac:dyDescent="0.3">
      <c r="A28" s="30" t="s">
        <v>0</v>
      </c>
      <c r="B28" s="30" t="s">
        <v>20</v>
      </c>
      <c r="C28" s="30" t="s">
        <v>21</v>
      </c>
      <c r="D28">
        <v>2025</v>
      </c>
      <c r="E28">
        <v>2001</v>
      </c>
      <c r="F28" s="30" t="s">
        <v>65</v>
      </c>
      <c r="G28" s="30" t="s">
        <v>33</v>
      </c>
      <c r="H28" s="30" t="s">
        <v>64</v>
      </c>
      <c r="I28" s="2">
        <v>820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306.8</v>
      </c>
      <c r="Q28" s="2">
        <v>1126.8</v>
      </c>
      <c r="R28" s="2">
        <v>151.07</v>
      </c>
      <c r="S28" s="2">
        <v>1309803.51</v>
      </c>
      <c r="T28" s="1">
        <v>8.6028170744480593E-4</v>
      </c>
      <c r="W28" s="16" t="s">
        <v>72</v>
      </c>
      <c r="X28" s="16" t="s">
        <v>21</v>
      </c>
      <c r="Y28" s="16">
        <v>2025</v>
      </c>
      <c r="Z28" s="15" t="s">
        <v>76</v>
      </c>
      <c r="AA28" s="17">
        <v>1657043.9</v>
      </c>
      <c r="AB28" s="16">
        <f>COUNTIFS(FOLHA_ADM[EMPRESA],W28,FOLHA_ADM[[MÊS ]],X28,FOLHA_ADM[[ANO ]],Y28,FOLHA_ADM[DEPARTAMENTO],Z28)</f>
        <v>1</v>
      </c>
      <c r="AC28" s="17">
        <f>SUMIFS(FOLHA_ADM[TOTAL],FOLHA_ADM[EMPRESA],W28,FOLHA_ADM[[MÊS ]],X28,FOLHA_ADM[[ANO ]],Y28,FOLHA_ADM[DEPARTAMENTO],Z28)</f>
        <v>9788.8919999999998</v>
      </c>
      <c r="AD28" s="18">
        <f t="shared" si="0"/>
        <v>1657043.9</v>
      </c>
    </row>
    <row r="29" spans="1:30" x14ac:dyDescent="0.3">
      <c r="A29" s="30" t="s">
        <v>0</v>
      </c>
      <c r="B29" s="30" t="s">
        <v>20</v>
      </c>
      <c r="C29" s="30" t="s">
        <v>21</v>
      </c>
      <c r="D29">
        <v>2025</v>
      </c>
      <c r="E29">
        <v>2002</v>
      </c>
      <c r="F29" s="30" t="s">
        <v>66</v>
      </c>
      <c r="G29" s="30" t="s">
        <v>33</v>
      </c>
      <c r="H29" s="30" t="s">
        <v>64</v>
      </c>
      <c r="I29" s="2">
        <v>820</v>
      </c>
      <c r="J29" s="2">
        <v>0</v>
      </c>
      <c r="K29" s="2">
        <v>0</v>
      </c>
      <c r="L29" s="2">
        <v>0</v>
      </c>
      <c r="M29" s="2">
        <v>0</v>
      </c>
      <c r="N29" s="2">
        <v>80</v>
      </c>
      <c r="O29" s="2">
        <v>0</v>
      </c>
      <c r="P29" s="2">
        <v>200</v>
      </c>
      <c r="Q29" s="2">
        <v>1100</v>
      </c>
      <c r="R29" s="2">
        <v>46.87</v>
      </c>
      <c r="S29" s="2">
        <v>1309803.51</v>
      </c>
      <c r="T29" s="1">
        <v>8.398206231711808E-4</v>
      </c>
      <c r="W29" s="16" t="s">
        <v>72</v>
      </c>
      <c r="X29" s="16" t="s">
        <v>21</v>
      </c>
      <c r="Y29" s="16">
        <v>2025</v>
      </c>
      <c r="Z29" s="15" t="s">
        <v>89</v>
      </c>
      <c r="AA29" s="17">
        <v>186948.55</v>
      </c>
      <c r="AB29" s="16">
        <f>COUNTIFS(FOLHA_ADM[EMPRESA],W29,FOLHA_ADM[[MÊS ]],X29,FOLHA_ADM[[ANO ]],Y29,FOLHA_ADM[DEPARTAMENTO],Z29)</f>
        <v>2</v>
      </c>
      <c r="AC29" s="17">
        <f>SUMIFS(FOLHA_ADM[TOTAL],FOLHA_ADM[EMPRESA],W29,FOLHA_ADM[[MÊS ]],X29,FOLHA_ADM[[ANO ]],Y29,FOLHA_ADM[DEPARTAMENTO],Z29)</f>
        <v>6834.4742999999999</v>
      </c>
      <c r="AD29" s="18">
        <f t="shared" si="0"/>
        <v>93474.274999999994</v>
      </c>
    </row>
    <row r="30" spans="1:30" x14ac:dyDescent="0.3">
      <c r="A30" s="30" t="s">
        <v>0</v>
      </c>
      <c r="B30" s="30" t="s">
        <v>20</v>
      </c>
      <c r="C30" s="30" t="s">
        <v>21</v>
      </c>
      <c r="D30">
        <v>2025</v>
      </c>
      <c r="E30">
        <v>2003</v>
      </c>
      <c r="F30" s="30" t="s">
        <v>67</v>
      </c>
      <c r="G30" s="30" t="s">
        <v>33</v>
      </c>
      <c r="H30" s="30" t="s">
        <v>64</v>
      </c>
      <c r="I30" s="2">
        <v>820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306.8</v>
      </c>
      <c r="Q30" s="2">
        <v>1126.8</v>
      </c>
      <c r="R30" s="2">
        <v>23.06</v>
      </c>
      <c r="S30" s="2">
        <v>1309803.51</v>
      </c>
      <c r="T30" s="1">
        <v>8.6028170744480593E-4</v>
      </c>
      <c r="W30" s="16" t="s">
        <v>72</v>
      </c>
      <c r="X30" s="16" t="s">
        <v>21</v>
      </c>
      <c r="Y30" s="16">
        <v>2025</v>
      </c>
      <c r="Z30" s="15" t="s">
        <v>125</v>
      </c>
      <c r="AA30" s="17">
        <v>0</v>
      </c>
      <c r="AB30" s="16">
        <f>COUNTIFS(FOLHA_ADM[EMPRESA],W30,FOLHA_ADM[[MÊS ]],X30,FOLHA_ADM[[ANO ]],Y30,FOLHA_ADM[DEPARTAMENTO],Z30)</f>
        <v>0</v>
      </c>
      <c r="AC30" s="17">
        <f>SUMIFS(FOLHA_ADM[TOTAL],FOLHA_ADM[EMPRESA],W30,FOLHA_ADM[[MÊS ]],X30,FOLHA_ADM[[ANO ]],Y30,FOLHA_ADM[DEPARTAMENTO],Z30)</f>
        <v>0</v>
      </c>
      <c r="AD30" s="18">
        <f t="shared" si="0"/>
        <v>0</v>
      </c>
    </row>
    <row r="31" spans="1:30" x14ac:dyDescent="0.3">
      <c r="A31" s="30" t="s">
        <v>0</v>
      </c>
      <c r="B31" s="30" t="s">
        <v>20</v>
      </c>
      <c r="C31" s="30" t="s">
        <v>21</v>
      </c>
      <c r="D31">
        <v>2025</v>
      </c>
      <c r="E31">
        <v>2004</v>
      </c>
      <c r="F31" s="30" t="s">
        <v>68</v>
      </c>
      <c r="G31" s="30" t="s">
        <v>33</v>
      </c>
      <c r="H31" s="30" t="s">
        <v>64</v>
      </c>
      <c r="I31" s="2">
        <v>820</v>
      </c>
      <c r="J31" s="2">
        <v>0</v>
      </c>
      <c r="K31" s="2">
        <v>0</v>
      </c>
      <c r="L31" s="2">
        <v>0</v>
      </c>
      <c r="M31" s="2">
        <v>0</v>
      </c>
      <c r="N31" s="2">
        <v>80</v>
      </c>
      <c r="O31" s="2">
        <v>0</v>
      </c>
      <c r="P31" s="2">
        <v>306.8</v>
      </c>
      <c r="Q31" s="2">
        <v>1206.8</v>
      </c>
      <c r="R31" s="2">
        <v>46.57</v>
      </c>
      <c r="S31" s="2">
        <v>1309803.51</v>
      </c>
      <c r="T31" s="1">
        <v>9.2135957094816468E-4</v>
      </c>
      <c r="W31" s="16" t="s">
        <v>72</v>
      </c>
      <c r="X31" s="16" t="s">
        <v>21</v>
      </c>
      <c r="Y31" s="16">
        <v>2025</v>
      </c>
      <c r="Z31" s="19" t="s">
        <v>217</v>
      </c>
      <c r="AA31" s="17">
        <v>1657043.9</v>
      </c>
      <c r="AB31" s="16">
        <f>COUNTIFS(FOLHA_ADM[EMPRESA],W31,FOLHA_ADM[[MÊS ]],X31,FOLHA_ADM[[ANO ]],Y31,FOLHA_ADM[DEPARTAMENTO],Z31)</f>
        <v>2</v>
      </c>
      <c r="AC31" s="17">
        <f>SUMIFS(FOLHA_ADM[TOTAL],FOLHA_ADM[EMPRESA],W31,FOLHA_ADM[[MÊS ]],X31,FOLHA_ADM[[ANO ]],Y31,FOLHA_ADM[DEPARTAMENTO],Z31)</f>
        <v>3516.35</v>
      </c>
      <c r="AD31" s="18">
        <f t="shared" si="0"/>
        <v>828521.95</v>
      </c>
    </row>
    <row r="32" spans="1:30" x14ac:dyDescent="0.3">
      <c r="A32" s="30" t="s">
        <v>0</v>
      </c>
      <c r="B32" s="30" t="s">
        <v>20</v>
      </c>
      <c r="C32" s="30" t="s">
        <v>21</v>
      </c>
      <c r="D32">
        <v>2025</v>
      </c>
      <c r="E32">
        <v>201</v>
      </c>
      <c r="F32" s="30" t="s">
        <v>69</v>
      </c>
      <c r="G32" s="30" t="s">
        <v>39</v>
      </c>
      <c r="H32" s="30" t="s">
        <v>57</v>
      </c>
      <c r="I32" s="2">
        <v>2184.35</v>
      </c>
      <c r="J32" s="2">
        <v>2168.36</v>
      </c>
      <c r="K32" s="2">
        <v>591.96230000000003</v>
      </c>
      <c r="L32" s="2">
        <v>173.46</v>
      </c>
      <c r="M32" s="2">
        <v>536</v>
      </c>
      <c r="N32" s="2">
        <v>0</v>
      </c>
      <c r="O32" s="2">
        <v>0</v>
      </c>
      <c r="P32" s="2">
        <v>0</v>
      </c>
      <c r="Q32" s="2">
        <v>3485.7723000000001</v>
      </c>
      <c r="R32" s="2">
        <v>82.25</v>
      </c>
      <c r="S32" s="2">
        <v>1309803.51</v>
      </c>
      <c r="T32" s="1">
        <v>2.6612940440203891E-3</v>
      </c>
      <c r="W32" t="s">
        <v>20</v>
      </c>
      <c r="X32" t="s">
        <v>257</v>
      </c>
      <c r="Y32">
        <v>2025</v>
      </c>
      <c r="Z32" s="15" t="s">
        <v>23</v>
      </c>
      <c r="AA32" s="2">
        <v>1477999.27</v>
      </c>
      <c r="AB32">
        <f>COUNTIFS(FOLHA_ADM[EMPRESA],W32,FOLHA_ADM[[MÊS ]],X32,FOLHA_ADM[[ANO ]],Y32,FOLHA_ADM[DEPARTAMENTO],Z32)</f>
        <v>3</v>
      </c>
      <c r="AC32" s="2">
        <f>SUMIFS(FOLHA_ADM[TOTAL],FOLHA_ADM[EMPRESA],W32,FOLHA_ADM[[MÊS ]],X32,FOLHA_ADM[[ANO ]],Y32,FOLHA_ADM[DEPARTAMENTO],Z32)</f>
        <v>12439.180699999999</v>
      </c>
      <c r="AD32" s="3">
        <f t="shared" ref="AD32:AD61" si="1">IFERROR(AA32/AB32,0)</f>
        <v>492666.42333333334</v>
      </c>
    </row>
    <row r="33" spans="1:30" x14ac:dyDescent="0.3">
      <c r="A33" s="30" t="s">
        <v>0</v>
      </c>
      <c r="B33" s="30" t="s">
        <v>20</v>
      </c>
      <c r="C33" s="30" t="s">
        <v>21</v>
      </c>
      <c r="D33">
        <v>2025</v>
      </c>
      <c r="E33">
        <v>200</v>
      </c>
      <c r="F33" s="30" t="s">
        <v>70</v>
      </c>
      <c r="G33" s="30" t="s">
        <v>29</v>
      </c>
      <c r="H33" s="30" t="s">
        <v>30</v>
      </c>
      <c r="I33" s="2">
        <v>2048.0700000000002</v>
      </c>
      <c r="J33" s="2">
        <v>2048.0700000000002</v>
      </c>
      <c r="K33" s="2">
        <v>559.12310000000002</v>
      </c>
      <c r="L33" s="2">
        <v>163.84</v>
      </c>
      <c r="M33" s="2">
        <v>280</v>
      </c>
      <c r="N33" s="2">
        <v>0</v>
      </c>
      <c r="O33" s="2">
        <v>0</v>
      </c>
      <c r="P33" s="2">
        <v>0</v>
      </c>
      <c r="Q33" s="2">
        <v>3051.0331000000001</v>
      </c>
      <c r="R33" s="2">
        <v>49.17</v>
      </c>
      <c r="S33" s="2">
        <v>1309803.51</v>
      </c>
      <c r="T33" s="1">
        <v>2.3293822979600963E-3</v>
      </c>
      <c r="W33" t="s">
        <v>20</v>
      </c>
      <c r="X33" t="s">
        <v>257</v>
      </c>
      <c r="Y33">
        <v>2025</v>
      </c>
      <c r="Z33" s="15" t="s">
        <v>26</v>
      </c>
      <c r="AA33" s="2">
        <v>97200.6</v>
      </c>
      <c r="AB33">
        <f>COUNTIFS(FOLHA_ADM[EMPRESA],W33,FOLHA_ADM[[MÊS ]],X33,FOLHA_ADM[[ANO ]],Y33,FOLHA_ADM[DEPARTAMENTO],Z33)</f>
        <v>5</v>
      </c>
      <c r="AC33" s="2">
        <f>SUMIFS(FOLHA_ADM[TOTAL],FOLHA_ADM[EMPRESA],W33,FOLHA_ADM[[MÊS ]],X33,FOLHA_ADM[[ANO ]],Y33,FOLHA_ADM[DEPARTAMENTO],Z33)</f>
        <v>14122.2341</v>
      </c>
      <c r="AD33" s="3">
        <f t="shared" si="1"/>
        <v>19440.120000000003</v>
      </c>
    </row>
    <row r="34" spans="1:30" x14ac:dyDescent="0.3">
      <c r="A34" s="30" t="s">
        <v>0</v>
      </c>
      <c r="B34" s="30" t="s">
        <v>20</v>
      </c>
      <c r="C34" s="30" t="s">
        <v>257</v>
      </c>
      <c r="D34">
        <v>2025</v>
      </c>
      <c r="E34">
        <v>111</v>
      </c>
      <c r="F34" s="30" t="s">
        <v>22</v>
      </c>
      <c r="G34" s="30" t="s">
        <v>23</v>
      </c>
      <c r="H34" s="30" t="s">
        <v>24</v>
      </c>
      <c r="I34" s="2">
        <v>3567.39</v>
      </c>
      <c r="J34" s="2">
        <v>3512.64</v>
      </c>
      <c r="K34" s="2">
        <v>958.95069999999998</v>
      </c>
      <c r="L34" s="2">
        <v>281.01</v>
      </c>
      <c r="M34" s="2">
        <v>308</v>
      </c>
      <c r="N34" s="2">
        <v>0</v>
      </c>
      <c r="O34" s="2">
        <v>122.84</v>
      </c>
      <c r="P34" s="2">
        <v>0</v>
      </c>
      <c r="Q34" s="2">
        <v>5238.1907000000001</v>
      </c>
      <c r="R34" s="2">
        <v>0</v>
      </c>
      <c r="S34" s="2">
        <v>1477999.27</v>
      </c>
      <c r="T34" s="1">
        <v>3.5441091388360422E-3</v>
      </c>
      <c r="W34" t="s">
        <v>20</v>
      </c>
      <c r="X34" t="s">
        <v>257</v>
      </c>
      <c r="Y34">
        <v>2025</v>
      </c>
      <c r="Z34" s="15" t="s">
        <v>29</v>
      </c>
      <c r="AA34" s="2">
        <v>1477999.27</v>
      </c>
      <c r="AB34">
        <f>COUNTIFS(FOLHA_ADM[EMPRESA],W34,FOLHA_ADM[[MÊS ]],X34,FOLHA_ADM[[ANO ]],Y34,FOLHA_ADM[DEPARTAMENTO],Z34)</f>
        <v>15</v>
      </c>
      <c r="AC34" s="2">
        <f>SUMIFS(FOLHA_ADM[TOTAL],FOLHA_ADM[EMPRESA],W34,FOLHA_ADM[[MÊS ]],X34,FOLHA_ADM[[ANO ]],Y34,FOLHA_ADM[DEPARTAMENTO],Z34)</f>
        <v>50474.889200000005</v>
      </c>
      <c r="AD34" s="3">
        <f t="shared" si="1"/>
        <v>98533.284666666674</v>
      </c>
    </row>
    <row r="35" spans="1:30" x14ac:dyDescent="0.3">
      <c r="A35" s="30" t="s">
        <v>0</v>
      </c>
      <c r="B35" s="30" t="s">
        <v>20</v>
      </c>
      <c r="C35" s="30" t="s">
        <v>257</v>
      </c>
      <c r="D35">
        <v>2025</v>
      </c>
      <c r="E35">
        <v>139</v>
      </c>
      <c r="F35" s="30" t="s">
        <v>25</v>
      </c>
      <c r="G35" s="30" t="s">
        <v>26</v>
      </c>
      <c r="H35" s="30" t="s">
        <v>27</v>
      </c>
      <c r="I35" s="2">
        <v>2139.92</v>
      </c>
      <c r="J35" s="2">
        <v>2139.92</v>
      </c>
      <c r="K35" s="2">
        <v>584.19820000000004</v>
      </c>
      <c r="L35" s="2">
        <v>171.19</v>
      </c>
      <c r="M35" s="2">
        <v>280</v>
      </c>
      <c r="N35" s="2">
        <v>80</v>
      </c>
      <c r="O35" s="2">
        <v>0</v>
      </c>
      <c r="P35" s="2">
        <v>0</v>
      </c>
      <c r="Q35" s="2">
        <v>3255.3081999999999</v>
      </c>
      <c r="R35" s="2">
        <v>54.26</v>
      </c>
      <c r="S35" s="2">
        <v>1477999.27</v>
      </c>
      <c r="T35" s="1">
        <v>2.2025099917674521E-3</v>
      </c>
      <c r="W35" t="s">
        <v>20</v>
      </c>
      <c r="X35" t="s">
        <v>257</v>
      </c>
      <c r="Y35">
        <v>2025</v>
      </c>
      <c r="Z35" s="15" t="s">
        <v>33</v>
      </c>
      <c r="AA35" s="2">
        <v>1006509.64</v>
      </c>
      <c r="AB35">
        <f>COUNTIFS(FOLHA_ADM[EMPRESA],W35,FOLHA_ADM[[MÊS ]],X35,FOLHA_ADM[[ANO ]],Y35,FOLHA_ADM[DEPARTAMENTO],Z35)</f>
        <v>11</v>
      </c>
      <c r="AC35" s="2">
        <f>SUMIFS(FOLHA_ADM[TOTAL],FOLHA_ADM[EMPRESA],W35,FOLHA_ADM[[MÊS ]],X35,FOLHA_ADM[[ANO ]],Y35,FOLHA_ADM[DEPARTAMENTO],Z35)</f>
        <v>30175.5661</v>
      </c>
      <c r="AD35" s="3">
        <f t="shared" si="1"/>
        <v>91500.876363636358</v>
      </c>
    </row>
    <row r="36" spans="1:30" x14ac:dyDescent="0.3">
      <c r="A36" s="30" t="s">
        <v>0</v>
      </c>
      <c r="B36" s="30" t="s">
        <v>20</v>
      </c>
      <c r="C36" s="30" t="s">
        <v>257</v>
      </c>
      <c r="D36">
        <v>2025</v>
      </c>
      <c r="E36">
        <v>202</v>
      </c>
      <c r="F36" s="30" t="s">
        <v>28</v>
      </c>
      <c r="G36" s="30" t="s">
        <v>29</v>
      </c>
      <c r="H36" s="30" t="s">
        <v>30</v>
      </c>
      <c r="I36" s="2">
        <v>2250.12</v>
      </c>
      <c r="J36" s="2">
        <v>2239.69</v>
      </c>
      <c r="K36" s="2">
        <v>611.43539999999996</v>
      </c>
      <c r="L36" s="2">
        <v>179.17</v>
      </c>
      <c r="M36" s="2">
        <v>562</v>
      </c>
      <c r="N36" s="2">
        <v>80</v>
      </c>
      <c r="O36" s="2">
        <v>0</v>
      </c>
      <c r="P36" s="2">
        <v>0</v>
      </c>
      <c r="Q36" s="2">
        <v>3682.7253999999998</v>
      </c>
      <c r="R36" s="2">
        <v>29.12</v>
      </c>
      <c r="S36" s="2">
        <v>1477999.27</v>
      </c>
      <c r="T36" s="1">
        <v>2.4916963389298558E-3</v>
      </c>
      <c r="W36" t="s">
        <v>20</v>
      </c>
      <c r="X36" t="s">
        <v>257</v>
      </c>
      <c r="Y36">
        <v>2025</v>
      </c>
      <c r="Z36" s="15" t="s">
        <v>39</v>
      </c>
      <c r="AA36" s="2">
        <v>223502.97</v>
      </c>
      <c r="AB36">
        <f>COUNTIFS(FOLHA_ADM[EMPRESA],W36,FOLHA_ADM[[MÊS ]],X36,FOLHA_ADM[[ANO ]],Y36,FOLHA_ADM[DEPARTAMENTO],Z36)</f>
        <v>6</v>
      </c>
      <c r="AC36" s="2">
        <f>SUMIFS(FOLHA_ADM[TOTAL],FOLHA_ADM[EMPRESA],W36,FOLHA_ADM[[MÊS ]],X36,FOLHA_ADM[[ANO ]],Y36,FOLHA_ADM[DEPARTAMENTO],Z36)</f>
        <v>27610.395099999998</v>
      </c>
      <c r="AD36" s="3">
        <f t="shared" si="1"/>
        <v>37250.495000000003</v>
      </c>
    </row>
    <row r="37" spans="1:30" x14ac:dyDescent="0.3">
      <c r="A37" s="30" t="s">
        <v>0</v>
      </c>
      <c r="B37" s="30" t="s">
        <v>20</v>
      </c>
      <c r="C37" s="30" t="s">
        <v>257</v>
      </c>
      <c r="D37">
        <v>2025</v>
      </c>
      <c r="E37">
        <v>183</v>
      </c>
      <c r="F37" s="30" t="s">
        <v>31</v>
      </c>
      <c r="G37" s="30" t="s">
        <v>29</v>
      </c>
      <c r="H37" s="30" t="s">
        <v>30</v>
      </c>
      <c r="I37" s="2">
        <v>2238.5</v>
      </c>
      <c r="J37" s="2">
        <v>2162</v>
      </c>
      <c r="K37" s="2">
        <v>590.226</v>
      </c>
      <c r="L37" s="2">
        <v>172.96</v>
      </c>
      <c r="M37" s="2">
        <v>350</v>
      </c>
      <c r="N37" s="2">
        <v>0</v>
      </c>
      <c r="O37" s="2">
        <v>0</v>
      </c>
      <c r="P37" s="2">
        <v>0</v>
      </c>
      <c r="Q37" s="2">
        <v>3351.6860000000001</v>
      </c>
      <c r="R37" s="2">
        <v>17.5</v>
      </c>
      <c r="S37" s="2">
        <v>1477999.27</v>
      </c>
      <c r="T37" s="1">
        <v>2.2677183054359696E-3</v>
      </c>
      <c r="W37" t="s">
        <v>20</v>
      </c>
      <c r="X37" t="s">
        <v>257</v>
      </c>
      <c r="Y37">
        <v>2025</v>
      </c>
      <c r="Z37" s="15" t="s">
        <v>42</v>
      </c>
      <c r="AA37" s="2">
        <v>1477999.27</v>
      </c>
      <c r="AB37">
        <f>COUNTIFS(FOLHA_ADM[EMPRESA],W37,FOLHA_ADM[[MÊS ]],X37,FOLHA_ADM[[ANO ]],Y37,FOLHA_ADM[DEPARTAMENTO],Z37)</f>
        <v>2</v>
      </c>
      <c r="AC37" s="2">
        <f>SUMIFS(FOLHA_ADM[TOTAL],FOLHA_ADM[EMPRESA],W37,FOLHA_ADM[[MÊS ]],X37,FOLHA_ADM[[ANO ]],Y37,FOLHA_ADM[DEPARTAMENTO],Z37)</f>
        <v>10138.6425</v>
      </c>
      <c r="AD37" s="3">
        <f t="shared" si="1"/>
        <v>738999.63500000001</v>
      </c>
    </row>
    <row r="38" spans="1:30" x14ac:dyDescent="0.3">
      <c r="A38" s="30" t="s">
        <v>0</v>
      </c>
      <c r="B38" s="30" t="s">
        <v>20</v>
      </c>
      <c r="C38" s="30" t="s">
        <v>257</v>
      </c>
      <c r="D38">
        <v>2025</v>
      </c>
      <c r="E38">
        <v>205</v>
      </c>
      <c r="F38" s="30" t="s">
        <v>258</v>
      </c>
      <c r="G38" s="30" t="s">
        <v>26</v>
      </c>
      <c r="H38" s="30" t="s">
        <v>60</v>
      </c>
      <c r="I38" s="2">
        <v>1261.31</v>
      </c>
      <c r="J38" s="2">
        <v>1259.51</v>
      </c>
      <c r="K38" s="2">
        <v>343.84620000000001</v>
      </c>
      <c r="L38" s="2">
        <v>100.76</v>
      </c>
      <c r="M38" s="2">
        <v>210</v>
      </c>
      <c r="N38" s="2">
        <v>0</v>
      </c>
      <c r="O38" s="2">
        <v>0</v>
      </c>
      <c r="P38" s="2">
        <v>306.8</v>
      </c>
      <c r="Q38" s="2">
        <v>2222.7161999999998</v>
      </c>
      <c r="R38" s="2">
        <v>10.48</v>
      </c>
      <c r="S38" s="2">
        <v>1477999.27</v>
      </c>
      <c r="T38" s="1">
        <v>1.5038682867549724E-3</v>
      </c>
      <c r="W38" t="s">
        <v>20</v>
      </c>
      <c r="X38" t="s">
        <v>257</v>
      </c>
      <c r="Y38">
        <v>2025</v>
      </c>
      <c r="Z38" s="15" t="s">
        <v>76</v>
      </c>
      <c r="AA38" s="2">
        <v>1477999.27</v>
      </c>
      <c r="AB38">
        <f>COUNTIFS(FOLHA_ADM[EMPRESA],W38,FOLHA_ADM[[MÊS ]],X38,FOLHA_ADM[[ANO ]],Y38,FOLHA_ADM[DEPARTAMENTO],Z38)</f>
        <v>1</v>
      </c>
      <c r="AC38" s="2">
        <f>SUMIFS(FOLHA_ADM[TOTAL],FOLHA_ADM[EMPRESA],W38,FOLHA_ADM[[MÊS ]],X38,FOLHA_ADM[[ANO ]],Y38,FOLHA_ADM[DEPARTAMENTO],Z38)</f>
        <v>2824</v>
      </c>
      <c r="AD38" s="3">
        <f t="shared" si="1"/>
        <v>1477999.27</v>
      </c>
    </row>
    <row r="39" spans="1:30" x14ac:dyDescent="0.3">
      <c r="A39" s="30" t="s">
        <v>0</v>
      </c>
      <c r="B39" s="30" t="s">
        <v>20</v>
      </c>
      <c r="C39" s="30" t="s">
        <v>257</v>
      </c>
      <c r="D39">
        <v>2025</v>
      </c>
      <c r="E39">
        <v>123</v>
      </c>
      <c r="F39" s="30" t="s">
        <v>35</v>
      </c>
      <c r="G39" s="30" t="s">
        <v>29</v>
      </c>
      <c r="H39" s="30" t="s">
        <v>30</v>
      </c>
      <c r="I39" s="2">
        <v>2536.44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2536.44</v>
      </c>
      <c r="R39" s="2">
        <v>0</v>
      </c>
      <c r="S39" s="2">
        <v>1477999.27</v>
      </c>
      <c r="T39" s="1">
        <v>1.7161307528927264E-3</v>
      </c>
      <c r="W39" t="s">
        <v>20</v>
      </c>
      <c r="X39" t="s">
        <v>257</v>
      </c>
      <c r="Y39">
        <v>2025</v>
      </c>
      <c r="Z39" s="15" t="s">
        <v>89</v>
      </c>
      <c r="AA39" s="2">
        <v>136795.13</v>
      </c>
      <c r="AB39">
        <f>COUNTIFS(FOLHA_ADM[EMPRESA],W39,FOLHA_ADM[[MÊS ]],X39,FOLHA_ADM[[ANO ]],Y39,FOLHA_ADM[DEPARTAMENTO],Z39)</f>
        <v>0</v>
      </c>
      <c r="AC39" s="2">
        <f>SUMIFS(FOLHA_ADM[TOTAL],FOLHA_ADM[EMPRESA],W39,FOLHA_ADM[[MÊS ]],X39,FOLHA_ADM[[ANO ]],Y39,FOLHA_ADM[DEPARTAMENTO],Z39)</f>
        <v>0</v>
      </c>
      <c r="AD39" s="3">
        <f t="shared" si="1"/>
        <v>0</v>
      </c>
    </row>
    <row r="40" spans="1:30" x14ac:dyDescent="0.3">
      <c r="A40" s="30" t="s">
        <v>0</v>
      </c>
      <c r="B40" s="30" t="s">
        <v>20</v>
      </c>
      <c r="C40" s="30" t="s">
        <v>257</v>
      </c>
      <c r="D40">
        <v>2025</v>
      </c>
      <c r="E40">
        <v>16</v>
      </c>
      <c r="F40" s="30" t="s">
        <v>36</v>
      </c>
      <c r="G40" s="30" t="s">
        <v>26</v>
      </c>
      <c r="H40" s="30" t="s">
        <v>37</v>
      </c>
      <c r="I40" s="2">
        <v>2402.2199999999998</v>
      </c>
      <c r="J40" s="2">
        <v>2402.2199999999998</v>
      </c>
      <c r="K40" s="2">
        <v>655.80610000000001</v>
      </c>
      <c r="L40" s="2">
        <v>192.17</v>
      </c>
      <c r="M40" s="2">
        <v>350</v>
      </c>
      <c r="N40" s="2">
        <v>80</v>
      </c>
      <c r="O40" s="2">
        <v>0</v>
      </c>
      <c r="P40" s="2">
        <v>0</v>
      </c>
      <c r="Q40" s="2">
        <v>3680.1961000000001</v>
      </c>
      <c r="R40" s="2">
        <v>80.92</v>
      </c>
      <c r="S40" s="2">
        <v>1477999.27</v>
      </c>
      <c r="T40" s="1">
        <v>2.4899850322659496E-3</v>
      </c>
      <c r="W40" t="s">
        <v>20</v>
      </c>
      <c r="X40" t="s">
        <v>257</v>
      </c>
      <c r="Y40">
        <v>2025</v>
      </c>
      <c r="Z40" s="15" t="s">
        <v>125</v>
      </c>
      <c r="AA40" s="2">
        <v>0</v>
      </c>
      <c r="AB40">
        <f>COUNTIFS(FOLHA_ADM[EMPRESA],W40,FOLHA_ADM[[MÊS ]],X40,FOLHA_ADM[[ANO ]],Y40,FOLHA_ADM[DEPARTAMENTO],Z40)</f>
        <v>0</v>
      </c>
      <c r="AC40" s="2">
        <f>SUMIFS(FOLHA_ADM[TOTAL],FOLHA_ADM[EMPRESA],W40,FOLHA_ADM[[MÊS ]],X40,FOLHA_ADM[[ANO ]],Y40,FOLHA_ADM[DEPARTAMENTO],Z40)</f>
        <v>0</v>
      </c>
      <c r="AD40" s="3">
        <f t="shared" si="1"/>
        <v>0</v>
      </c>
    </row>
    <row r="41" spans="1:30" x14ac:dyDescent="0.3">
      <c r="A41" s="30" t="s">
        <v>0</v>
      </c>
      <c r="B41" s="30" t="s">
        <v>20</v>
      </c>
      <c r="C41" s="30" t="s">
        <v>257</v>
      </c>
      <c r="D41">
        <v>2025</v>
      </c>
      <c r="E41">
        <v>25</v>
      </c>
      <c r="F41" s="30" t="s">
        <v>38</v>
      </c>
      <c r="G41" s="30" t="s">
        <v>39</v>
      </c>
      <c r="H41" s="30" t="s">
        <v>37</v>
      </c>
      <c r="I41" s="2">
        <v>8954.9699999999993</v>
      </c>
      <c r="J41" s="2">
        <v>2059.4299999999998</v>
      </c>
      <c r="K41" s="2">
        <v>562.22439999999995</v>
      </c>
      <c r="L41" s="2">
        <v>420.45</v>
      </c>
      <c r="M41" s="2">
        <v>400</v>
      </c>
      <c r="N41" s="2">
        <v>80</v>
      </c>
      <c r="O41" s="2">
        <v>0</v>
      </c>
      <c r="P41" s="2">
        <v>0</v>
      </c>
      <c r="Q41" s="2">
        <v>10417.644399999999</v>
      </c>
      <c r="R41" s="2">
        <v>115.89</v>
      </c>
      <c r="S41" s="2">
        <v>1477999.27</v>
      </c>
      <c r="T41" s="1">
        <v>7.0484773581789379E-3</v>
      </c>
      <c r="W41" t="s">
        <v>20</v>
      </c>
      <c r="X41" t="s">
        <v>257</v>
      </c>
      <c r="Y41">
        <v>2025</v>
      </c>
      <c r="Z41" s="15" t="s">
        <v>217</v>
      </c>
      <c r="AA41" s="2">
        <v>1477999.27</v>
      </c>
      <c r="AB41">
        <f>COUNTIFS(FOLHA_ADM[EMPRESA],W41,FOLHA_ADM[[MÊS ]],X41,FOLHA_ADM[[ANO ]],Y41,FOLHA_ADM[DEPARTAMENTO],Z41)</f>
        <v>0</v>
      </c>
      <c r="AC41" s="2">
        <f>SUMIFS(FOLHA_ADM[TOTAL],FOLHA_ADM[EMPRESA],W41,FOLHA_ADM[[MÊS ]],X41,FOLHA_ADM[[ANO ]],Y41,FOLHA_ADM[DEPARTAMENTO],Z41)</f>
        <v>0</v>
      </c>
      <c r="AD41" s="3">
        <f t="shared" si="1"/>
        <v>0</v>
      </c>
    </row>
    <row r="42" spans="1:30" x14ac:dyDescent="0.3">
      <c r="A42" s="30" t="s">
        <v>0</v>
      </c>
      <c r="B42" s="30" t="s">
        <v>20</v>
      </c>
      <c r="C42" s="30" t="s">
        <v>257</v>
      </c>
      <c r="D42">
        <v>2025</v>
      </c>
      <c r="E42">
        <v>195</v>
      </c>
      <c r="F42" s="30" t="s">
        <v>40</v>
      </c>
      <c r="G42" s="30" t="s">
        <v>29</v>
      </c>
      <c r="H42" s="30" t="s">
        <v>30</v>
      </c>
      <c r="I42" s="2">
        <v>2375.89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2375.89</v>
      </c>
      <c r="R42" s="2">
        <v>0</v>
      </c>
      <c r="S42" s="2">
        <v>1477999.27</v>
      </c>
      <c r="T42" s="1">
        <v>1.6075041769134297E-3</v>
      </c>
      <c r="W42" s="16" t="s">
        <v>119</v>
      </c>
      <c r="X42" t="s">
        <v>257</v>
      </c>
      <c r="Y42" s="16">
        <v>2025</v>
      </c>
      <c r="Z42" s="15" t="s">
        <v>23</v>
      </c>
      <c r="AA42" s="2">
        <v>2637808.56</v>
      </c>
      <c r="AB42">
        <f>COUNTIFS(FOLHA_ADM[EMPRESA],W42,FOLHA_ADM[[MÊS ]],X42,FOLHA_ADM[[ANO ]],Y42,FOLHA_ADM[DEPARTAMENTO],Z42)</f>
        <v>4</v>
      </c>
      <c r="AC42" s="2">
        <f>SUMIFS(FOLHA_ADM[TOTAL],FOLHA_ADM[EMPRESA],W42,FOLHA_ADM[[MÊS ]],X42,FOLHA_ADM[[ANO ]],Y42,FOLHA_ADM[DEPARTAMENTO],Z42)</f>
        <v>23159.25</v>
      </c>
      <c r="AD42" s="3">
        <f t="shared" si="1"/>
        <v>659452.14</v>
      </c>
    </row>
    <row r="43" spans="1:30" x14ac:dyDescent="0.3">
      <c r="A43" s="30" t="s">
        <v>0</v>
      </c>
      <c r="B43" s="30" t="s">
        <v>20</v>
      </c>
      <c r="C43" s="30" t="s">
        <v>257</v>
      </c>
      <c r="D43">
        <v>2025</v>
      </c>
      <c r="E43">
        <v>172</v>
      </c>
      <c r="F43" s="30" t="s">
        <v>41</v>
      </c>
      <c r="G43" s="30" t="s">
        <v>42</v>
      </c>
      <c r="H43" s="30" t="s">
        <v>43</v>
      </c>
      <c r="I43" s="2">
        <v>5888.31</v>
      </c>
      <c r="J43" s="2">
        <v>1882.39</v>
      </c>
      <c r="K43" s="2">
        <v>513.89250000000004</v>
      </c>
      <c r="L43" s="2">
        <v>236.5</v>
      </c>
      <c r="M43" s="2">
        <v>294</v>
      </c>
      <c r="N43" s="2">
        <v>0</v>
      </c>
      <c r="O43" s="2">
        <v>0</v>
      </c>
      <c r="P43" s="2">
        <v>0</v>
      </c>
      <c r="Q43" s="2">
        <v>6932.7025000000003</v>
      </c>
      <c r="R43" s="2">
        <v>19.16</v>
      </c>
      <c r="S43" s="2">
        <v>1477999.27</v>
      </c>
      <c r="T43" s="1">
        <v>4.6905993871025394E-3</v>
      </c>
      <c r="W43" s="16" t="s">
        <v>119</v>
      </c>
      <c r="X43" t="s">
        <v>257</v>
      </c>
      <c r="Y43" s="16">
        <v>2025</v>
      </c>
      <c r="Z43" s="15" t="s">
        <v>26</v>
      </c>
      <c r="AA43" s="2">
        <v>217186.7</v>
      </c>
      <c r="AB43">
        <f>COUNTIFS(FOLHA_ADM[EMPRESA],W43,FOLHA_ADM[[MÊS ]],X43,FOLHA_ADM[[ANO ]],Y43,FOLHA_ADM[DEPARTAMENTO],Z43)</f>
        <v>7</v>
      </c>
      <c r="AC43" s="2">
        <f>SUMIFS(FOLHA_ADM[TOTAL],FOLHA_ADM[EMPRESA],W43,FOLHA_ADM[[MÊS ]],X43,FOLHA_ADM[[ANO ]],Y43,FOLHA_ADM[DEPARTAMENTO],Z43)</f>
        <v>23516.839</v>
      </c>
      <c r="AD43" s="3">
        <f t="shared" si="1"/>
        <v>31026.67142857143</v>
      </c>
    </row>
    <row r="44" spans="1:30" x14ac:dyDescent="0.3">
      <c r="A44" s="30" t="s">
        <v>0</v>
      </c>
      <c r="B44" s="30" t="s">
        <v>20</v>
      </c>
      <c r="C44" s="30" t="s">
        <v>257</v>
      </c>
      <c r="D44">
        <v>2025</v>
      </c>
      <c r="E44">
        <v>189</v>
      </c>
      <c r="F44" s="30" t="s">
        <v>44</v>
      </c>
      <c r="G44" s="30" t="s">
        <v>29</v>
      </c>
      <c r="H44" s="30" t="s">
        <v>30</v>
      </c>
      <c r="I44" s="2">
        <v>2279.04</v>
      </c>
      <c r="J44" s="2">
        <v>2137.38</v>
      </c>
      <c r="K44" s="2">
        <v>583.50469999999996</v>
      </c>
      <c r="L44" s="2">
        <v>170.99</v>
      </c>
      <c r="M44" s="2">
        <v>336</v>
      </c>
      <c r="N44" s="2">
        <v>0</v>
      </c>
      <c r="O44" s="2">
        <v>0</v>
      </c>
      <c r="P44" s="2">
        <v>0</v>
      </c>
      <c r="Q44" s="2">
        <v>3369.5347000000002</v>
      </c>
      <c r="R44" s="2">
        <v>58.04</v>
      </c>
      <c r="S44" s="2">
        <v>1477999.27</v>
      </c>
      <c r="T44" s="1">
        <v>2.27979459015565E-3</v>
      </c>
      <c r="W44" s="16" t="s">
        <v>119</v>
      </c>
      <c r="X44" t="s">
        <v>257</v>
      </c>
      <c r="Y44" s="16">
        <v>2025</v>
      </c>
      <c r="Z44" s="15" t="s">
        <v>29</v>
      </c>
      <c r="AA44" s="2">
        <v>2637808.56</v>
      </c>
      <c r="AB44">
        <f>COUNTIFS(FOLHA_ADM[EMPRESA],W44,FOLHA_ADM[[MÊS ]],X44,FOLHA_ADM[[ANO ]],Y44,FOLHA_ADM[DEPARTAMENTO],Z44)</f>
        <v>18</v>
      </c>
      <c r="AC44" s="2">
        <f>SUMIFS(FOLHA_ADM[TOTAL],FOLHA_ADM[EMPRESA],W44,FOLHA_ADM[[MÊS ]],X44,FOLHA_ADM[[ANO ]],Y44,FOLHA_ADM[DEPARTAMENTO],Z44)</f>
        <v>59939.77580000001</v>
      </c>
      <c r="AD44" s="3">
        <f t="shared" si="1"/>
        <v>146544.92000000001</v>
      </c>
    </row>
    <row r="45" spans="1:30" x14ac:dyDescent="0.3">
      <c r="A45" s="30" t="s">
        <v>0</v>
      </c>
      <c r="B45" s="30" t="s">
        <v>20</v>
      </c>
      <c r="C45" s="30" t="s">
        <v>257</v>
      </c>
      <c r="D45">
        <v>2025</v>
      </c>
      <c r="E45">
        <v>147</v>
      </c>
      <c r="F45" s="30" t="s">
        <v>45</v>
      </c>
      <c r="G45" s="30" t="s">
        <v>29</v>
      </c>
      <c r="H45" s="30" t="s">
        <v>30</v>
      </c>
      <c r="I45" s="2">
        <v>2337.08</v>
      </c>
      <c r="J45" s="2">
        <v>2329.06</v>
      </c>
      <c r="K45" s="2">
        <v>635.83339999999998</v>
      </c>
      <c r="L45" s="2">
        <v>186.32</v>
      </c>
      <c r="M45" s="2">
        <v>350</v>
      </c>
      <c r="N45" s="2">
        <v>80</v>
      </c>
      <c r="O45" s="2">
        <v>0</v>
      </c>
      <c r="P45" s="2">
        <v>0</v>
      </c>
      <c r="Q45" s="2">
        <v>3589.2334000000001</v>
      </c>
      <c r="R45" s="2">
        <v>116.08</v>
      </c>
      <c r="S45" s="2">
        <v>1477999.27</v>
      </c>
      <c r="T45" s="1">
        <v>2.4284405634381672E-3</v>
      </c>
      <c r="W45" s="16" t="s">
        <v>119</v>
      </c>
      <c r="X45" t="s">
        <v>257</v>
      </c>
      <c r="Y45" s="16">
        <v>2025</v>
      </c>
      <c r="Z45" s="15" t="s">
        <v>33</v>
      </c>
      <c r="AA45" s="2">
        <v>1596012.8</v>
      </c>
      <c r="AB45">
        <f>COUNTIFS(FOLHA_ADM[EMPRESA],W45,FOLHA_ADM[[MÊS ]],X45,FOLHA_ADM[[ANO ]],Y45,FOLHA_ADM[DEPARTAMENTO],Z45)</f>
        <v>19</v>
      </c>
      <c r="AC45" s="2">
        <f>SUMIFS(FOLHA_ADM[TOTAL],FOLHA_ADM[EMPRESA],W45,FOLHA_ADM[[MÊS ]],X45,FOLHA_ADM[[ANO ]],Y45,FOLHA_ADM[DEPARTAMENTO],Z45)</f>
        <v>61645.495199999998</v>
      </c>
      <c r="AD45" s="3">
        <f t="shared" si="1"/>
        <v>84000.673684210531</v>
      </c>
    </row>
    <row r="46" spans="1:30" x14ac:dyDescent="0.3">
      <c r="A46" s="30" t="s">
        <v>0</v>
      </c>
      <c r="B46" s="30" t="s">
        <v>20</v>
      </c>
      <c r="C46" s="30" t="s">
        <v>257</v>
      </c>
      <c r="D46">
        <v>2025</v>
      </c>
      <c r="E46">
        <v>204</v>
      </c>
      <c r="F46" s="30" t="s">
        <v>259</v>
      </c>
      <c r="G46" s="30" t="s">
        <v>26</v>
      </c>
      <c r="H46" s="30" t="s">
        <v>60</v>
      </c>
      <c r="I46" s="2">
        <v>1290.54</v>
      </c>
      <c r="J46" s="2">
        <v>1288.1199999999999</v>
      </c>
      <c r="K46" s="2">
        <v>351.65679999999998</v>
      </c>
      <c r="L46" s="2">
        <v>103.04</v>
      </c>
      <c r="M46" s="2">
        <v>210</v>
      </c>
      <c r="N46" s="2">
        <v>0</v>
      </c>
      <c r="O46" s="2">
        <v>0</v>
      </c>
      <c r="P46" s="2">
        <v>0</v>
      </c>
      <c r="Q46" s="2">
        <v>1955.2367999999999</v>
      </c>
      <c r="R46" s="2">
        <v>39.71</v>
      </c>
      <c r="S46" s="2">
        <v>1477999.27</v>
      </c>
      <c r="T46" s="1">
        <v>1.3228942663821477E-3</v>
      </c>
      <c r="W46" s="16" t="s">
        <v>119</v>
      </c>
      <c r="X46" t="s">
        <v>257</v>
      </c>
      <c r="Y46" s="16">
        <v>2025</v>
      </c>
      <c r="Z46" s="15" t="s">
        <v>39</v>
      </c>
      <c r="AA46" s="2">
        <v>464367</v>
      </c>
      <c r="AB46">
        <f>COUNTIFS(FOLHA_ADM[EMPRESA],W46,FOLHA_ADM[[MÊS ]],X46,FOLHA_ADM[[ANO ]],Y46,FOLHA_ADM[DEPARTAMENTO],Z46)</f>
        <v>8</v>
      </c>
      <c r="AC46" s="2">
        <f>SUMIFS(FOLHA_ADM[TOTAL],FOLHA_ADM[EMPRESA],W46,FOLHA_ADM[[MÊS ]],X46,FOLHA_ADM[[ANO ]],Y46,FOLHA_ADM[DEPARTAMENTO],Z46)</f>
        <v>27292.996800000001</v>
      </c>
      <c r="AD46" s="3">
        <f t="shared" si="1"/>
        <v>58045.875</v>
      </c>
    </row>
    <row r="47" spans="1:30" x14ac:dyDescent="0.3">
      <c r="A47" s="30" t="s">
        <v>0</v>
      </c>
      <c r="B47" s="30" t="s">
        <v>20</v>
      </c>
      <c r="C47" s="30" t="s">
        <v>257</v>
      </c>
      <c r="D47">
        <v>2025</v>
      </c>
      <c r="E47">
        <v>191</v>
      </c>
      <c r="F47" s="30" t="s">
        <v>46</v>
      </c>
      <c r="G47" s="30" t="s">
        <v>29</v>
      </c>
      <c r="H47" s="30" t="s">
        <v>30</v>
      </c>
      <c r="I47" s="2">
        <v>4011.63</v>
      </c>
      <c r="J47" s="2">
        <v>2258.64</v>
      </c>
      <c r="K47" s="2">
        <v>616.6087</v>
      </c>
      <c r="L47" s="2">
        <v>252.95</v>
      </c>
      <c r="M47" s="2">
        <v>336</v>
      </c>
      <c r="N47" s="2">
        <v>0</v>
      </c>
      <c r="O47" s="2">
        <v>0</v>
      </c>
      <c r="P47" s="2">
        <v>0</v>
      </c>
      <c r="Q47" s="2">
        <v>5217.1886999999997</v>
      </c>
      <c r="R47" s="2">
        <v>40.799999999999997</v>
      </c>
      <c r="S47" s="2">
        <v>1477999.27</v>
      </c>
      <c r="T47" s="1">
        <v>3.5298993889218903E-3</v>
      </c>
      <c r="W47" s="16" t="s">
        <v>119</v>
      </c>
      <c r="X47" t="s">
        <v>257</v>
      </c>
      <c r="Y47" s="16">
        <v>2025</v>
      </c>
      <c r="Z47" s="15" t="s">
        <v>42</v>
      </c>
      <c r="AA47" s="2">
        <v>2637808.56</v>
      </c>
      <c r="AB47">
        <f>COUNTIFS(FOLHA_ADM[EMPRESA],W47,FOLHA_ADM[[MÊS ]],X47,FOLHA_ADM[[ANO ]],Y47,FOLHA_ADM[DEPARTAMENTO],Z47)</f>
        <v>2</v>
      </c>
      <c r="AC47" s="2">
        <f>SUMIFS(FOLHA_ADM[TOTAL],FOLHA_ADM[EMPRESA],W47,FOLHA_ADM[[MÊS ]],X47,FOLHA_ADM[[ANO ]],Y47,FOLHA_ADM[DEPARTAMENTO],Z47)</f>
        <v>4802.37</v>
      </c>
      <c r="AD47" s="3">
        <f t="shared" si="1"/>
        <v>1318904.28</v>
      </c>
    </row>
    <row r="48" spans="1:30" x14ac:dyDescent="0.3">
      <c r="A48" s="30" t="s">
        <v>0</v>
      </c>
      <c r="B48" s="30" t="s">
        <v>20</v>
      </c>
      <c r="C48" s="30" t="s">
        <v>257</v>
      </c>
      <c r="D48">
        <v>2025</v>
      </c>
      <c r="E48">
        <v>194</v>
      </c>
      <c r="F48" s="30" t="s">
        <v>47</v>
      </c>
      <c r="G48" s="30" t="s">
        <v>29</v>
      </c>
      <c r="H48" s="30" t="s">
        <v>30</v>
      </c>
      <c r="I48" s="2">
        <v>2294.71</v>
      </c>
      <c r="J48" s="2">
        <v>2294.71</v>
      </c>
      <c r="K48" s="2">
        <v>626.45579999999995</v>
      </c>
      <c r="L48" s="2">
        <v>183.57</v>
      </c>
      <c r="M48" s="2">
        <v>350</v>
      </c>
      <c r="N48" s="2">
        <v>80</v>
      </c>
      <c r="O48" s="2">
        <v>0</v>
      </c>
      <c r="P48" s="2">
        <v>0</v>
      </c>
      <c r="Q48" s="2">
        <v>3534.7357999999999</v>
      </c>
      <c r="R48" s="2">
        <v>73.709999999999994</v>
      </c>
      <c r="S48" s="2">
        <v>1477999.27</v>
      </c>
      <c r="T48" s="1">
        <v>2.3915680486093879E-3</v>
      </c>
      <c r="W48" s="16" t="s">
        <v>119</v>
      </c>
      <c r="X48" t="s">
        <v>257</v>
      </c>
      <c r="Y48" s="16">
        <v>2025</v>
      </c>
      <c r="Z48" s="15" t="s">
        <v>76</v>
      </c>
      <c r="AA48" s="2">
        <v>2637808.56</v>
      </c>
      <c r="AB48">
        <f>COUNTIFS(FOLHA_ADM[EMPRESA],W48,FOLHA_ADM[[MÊS ]],X48,FOLHA_ADM[[ANO ]],Y48,FOLHA_ADM[DEPARTAMENTO],Z48)</f>
        <v>1</v>
      </c>
      <c r="AC48" s="2">
        <f>SUMIFS(FOLHA_ADM[TOTAL],FOLHA_ADM[EMPRESA],W48,FOLHA_ADM[[MÊS ]],X48,FOLHA_ADM[[ANO ]],Y48,FOLHA_ADM[DEPARTAMENTO],Z48)</f>
        <v>9788.8919999999998</v>
      </c>
      <c r="AD48" s="3">
        <f t="shared" si="1"/>
        <v>2637808.56</v>
      </c>
    </row>
    <row r="49" spans="1:30" x14ac:dyDescent="0.3">
      <c r="A49" s="30" t="s">
        <v>0</v>
      </c>
      <c r="B49" s="30" t="s">
        <v>20</v>
      </c>
      <c r="C49" s="30" t="s">
        <v>257</v>
      </c>
      <c r="D49">
        <v>2025</v>
      </c>
      <c r="E49">
        <v>187</v>
      </c>
      <c r="F49" s="30" t="s">
        <v>48</v>
      </c>
      <c r="G49" s="30" t="s">
        <v>33</v>
      </c>
      <c r="H49" s="30" t="s">
        <v>34</v>
      </c>
      <c r="I49" s="2">
        <v>2195.4699999999998</v>
      </c>
      <c r="J49" s="2">
        <v>2114.04</v>
      </c>
      <c r="K49" s="2">
        <v>577.13289999999995</v>
      </c>
      <c r="L49" s="2">
        <v>169.12</v>
      </c>
      <c r="M49" s="2">
        <v>308</v>
      </c>
      <c r="N49" s="2">
        <v>0</v>
      </c>
      <c r="O49" s="2">
        <v>0</v>
      </c>
      <c r="P49" s="2">
        <v>0</v>
      </c>
      <c r="Q49" s="2">
        <v>3249.7229000000002</v>
      </c>
      <c r="R49" s="2">
        <v>21.26</v>
      </c>
      <c r="S49" s="2">
        <v>1477999.27</v>
      </c>
      <c r="T49" s="1">
        <v>2.1987310724449812E-3</v>
      </c>
      <c r="W49" s="16" t="s">
        <v>119</v>
      </c>
      <c r="X49" t="s">
        <v>257</v>
      </c>
      <c r="Y49" s="16">
        <v>2025</v>
      </c>
      <c r="Z49" s="15" t="s">
        <v>89</v>
      </c>
      <c r="AA49" s="2">
        <v>293679.81</v>
      </c>
      <c r="AB49">
        <f>COUNTIFS(FOLHA_ADM[EMPRESA],W49,FOLHA_ADM[[MÊS ]],X49,FOLHA_ADM[[ANO ]],Y49,FOLHA_ADM[DEPARTAMENTO],Z49)</f>
        <v>5</v>
      </c>
      <c r="AC49" s="2">
        <f>SUMIFS(FOLHA_ADM[TOTAL],FOLHA_ADM[EMPRESA],W49,FOLHA_ADM[[MÊS ]],X49,FOLHA_ADM[[ANO ]],Y49,FOLHA_ADM[DEPARTAMENTO],Z49)</f>
        <v>17454.652300000002</v>
      </c>
      <c r="AD49" s="3">
        <f t="shared" si="1"/>
        <v>58735.962</v>
      </c>
    </row>
    <row r="50" spans="1:30" x14ac:dyDescent="0.3">
      <c r="A50" s="30" t="s">
        <v>0</v>
      </c>
      <c r="B50" s="30" t="s">
        <v>20</v>
      </c>
      <c r="C50" s="30" t="s">
        <v>257</v>
      </c>
      <c r="D50">
        <v>2025</v>
      </c>
      <c r="E50">
        <v>198</v>
      </c>
      <c r="F50" s="30" t="s">
        <v>49</v>
      </c>
      <c r="G50" s="30" t="s">
        <v>33</v>
      </c>
      <c r="H50" s="30" t="s">
        <v>50</v>
      </c>
      <c r="I50" s="2">
        <v>1663.78</v>
      </c>
      <c r="J50" s="2">
        <v>1158.3499999999999</v>
      </c>
      <c r="K50" s="2">
        <v>316.2296</v>
      </c>
      <c r="L50" s="2">
        <v>129.72</v>
      </c>
      <c r="M50" s="2">
        <v>336</v>
      </c>
      <c r="N50" s="2">
        <v>80</v>
      </c>
      <c r="O50" s="2">
        <v>0</v>
      </c>
      <c r="P50" s="2">
        <v>0</v>
      </c>
      <c r="Q50" s="2">
        <v>2525.7296000000001</v>
      </c>
      <c r="R50" s="2">
        <v>59.49</v>
      </c>
      <c r="S50" s="2">
        <v>1477999.27</v>
      </c>
      <c r="T50" s="1">
        <v>1.7088841660929913E-3</v>
      </c>
      <c r="W50" s="16" t="s">
        <v>119</v>
      </c>
      <c r="X50" t="s">
        <v>257</v>
      </c>
      <c r="Y50" s="16">
        <v>2025</v>
      </c>
      <c r="Z50" s="15" t="s">
        <v>125</v>
      </c>
      <c r="AA50" s="2">
        <v>118425.27</v>
      </c>
      <c r="AB50">
        <f>COUNTIFS(FOLHA_ADM[EMPRESA],W50,FOLHA_ADM[[MÊS ]],X50,FOLHA_ADM[[ANO ]],Y50,FOLHA_ADM[DEPARTAMENTO],Z50)</f>
        <v>7</v>
      </c>
      <c r="AC50" s="2">
        <f>SUMIFS(FOLHA_ADM[TOTAL],FOLHA_ADM[EMPRESA],W50,FOLHA_ADM[[MÊS ]],X50,FOLHA_ADM[[ANO ]],Y50,FOLHA_ADM[DEPARTAMENTO],Z50)</f>
        <v>22317.455799999996</v>
      </c>
      <c r="AD50" s="3">
        <f t="shared" si="1"/>
        <v>16917.895714285714</v>
      </c>
    </row>
    <row r="51" spans="1:30" x14ac:dyDescent="0.3">
      <c r="A51" s="30" t="s">
        <v>0</v>
      </c>
      <c r="B51" s="30" t="s">
        <v>20</v>
      </c>
      <c r="C51" s="30" t="s">
        <v>257</v>
      </c>
      <c r="D51">
        <v>2025</v>
      </c>
      <c r="E51">
        <v>182</v>
      </c>
      <c r="F51" s="30" t="s">
        <v>51</v>
      </c>
      <c r="G51" s="30" t="s">
        <v>29</v>
      </c>
      <c r="H51" s="30" t="s">
        <v>30</v>
      </c>
      <c r="I51" s="2">
        <v>2281.73</v>
      </c>
      <c r="J51" s="2">
        <v>0</v>
      </c>
      <c r="K51" s="2">
        <v>0</v>
      </c>
      <c r="L51" s="2">
        <v>182.53</v>
      </c>
      <c r="M51" s="2">
        <v>0</v>
      </c>
      <c r="N51" s="2">
        <v>0</v>
      </c>
      <c r="O51" s="2">
        <v>0</v>
      </c>
      <c r="P51" s="2">
        <v>0</v>
      </c>
      <c r="Q51" s="2">
        <v>2464.2600000000002</v>
      </c>
      <c r="R51" s="2">
        <v>0</v>
      </c>
      <c r="S51" s="2">
        <v>1477999.27</v>
      </c>
      <c r="T51" s="1">
        <v>1.6672944635486864E-3</v>
      </c>
      <c r="W51" s="16" t="s">
        <v>119</v>
      </c>
      <c r="X51" t="s">
        <v>257</v>
      </c>
      <c r="Y51" s="16">
        <v>2025</v>
      </c>
      <c r="Z51" s="15" t="s">
        <v>217</v>
      </c>
      <c r="AA51" s="2">
        <v>2637808.56</v>
      </c>
      <c r="AB51">
        <f>COUNTIFS(FOLHA_ADM[EMPRESA],W51,FOLHA_ADM[[MÊS ]],X51,FOLHA_ADM[[ANO ]],Y51,FOLHA_ADM[DEPARTAMENTO],Z51)</f>
        <v>1</v>
      </c>
      <c r="AC51" s="2">
        <f>SUMIFS(FOLHA_ADM[TOTAL],FOLHA_ADM[EMPRESA],W51,FOLHA_ADM[[MÊS ]],X51,FOLHA_ADM[[ANO ]],Y51,FOLHA_ADM[DEPARTAMENTO],Z51)</f>
        <v>1630.61</v>
      </c>
      <c r="AD51" s="3">
        <f t="shared" si="1"/>
        <v>2637808.56</v>
      </c>
    </row>
    <row r="52" spans="1:30" x14ac:dyDescent="0.3">
      <c r="A52" s="30" t="s">
        <v>0</v>
      </c>
      <c r="B52" s="30" t="s">
        <v>20</v>
      </c>
      <c r="C52" s="30" t="s">
        <v>257</v>
      </c>
      <c r="D52">
        <v>2025</v>
      </c>
      <c r="E52">
        <v>197</v>
      </c>
      <c r="F52" s="30" t="s">
        <v>52</v>
      </c>
      <c r="G52" s="30" t="s">
        <v>29</v>
      </c>
      <c r="H52" s="30" t="s">
        <v>30</v>
      </c>
      <c r="I52" s="2">
        <v>2293.23</v>
      </c>
      <c r="J52" s="2">
        <v>2293.23</v>
      </c>
      <c r="K52" s="2">
        <v>626.05179999999996</v>
      </c>
      <c r="L52" s="2">
        <v>183.45</v>
      </c>
      <c r="M52" s="2">
        <v>350</v>
      </c>
      <c r="N52" s="2">
        <v>80</v>
      </c>
      <c r="O52" s="2">
        <v>0</v>
      </c>
      <c r="P52" s="2">
        <v>0</v>
      </c>
      <c r="Q52" s="2">
        <v>3532.7318</v>
      </c>
      <c r="R52" s="2">
        <v>72.23</v>
      </c>
      <c r="S52" s="2">
        <v>1477999.27</v>
      </c>
      <c r="T52" s="1">
        <v>2.3902121345432056E-3</v>
      </c>
      <c r="W52" s="16" t="s">
        <v>72</v>
      </c>
      <c r="X52" t="s">
        <v>257</v>
      </c>
      <c r="Y52" s="16">
        <v>2025</v>
      </c>
      <c r="Z52" s="15" t="s">
        <v>23</v>
      </c>
      <c r="AA52" s="2">
        <v>1849662.93</v>
      </c>
      <c r="AB52">
        <f>COUNTIFS(FOLHA_ADM[EMPRESA],W52,FOLHA_ADM[[MÊS ]],X52,FOLHA_ADM[[ANO ]],Y52,FOLHA_ADM[DEPARTAMENTO],Z52)</f>
        <v>3</v>
      </c>
      <c r="AC52" s="2">
        <f>SUMIFS(FOLHA_ADM[TOTAL],FOLHA_ADM[EMPRESA],W52,FOLHA_ADM[[MÊS ]],X52,FOLHA_ADM[[ANO ]],Y52,FOLHA_ADM[DEPARTAMENTO],Z52)</f>
        <v>17238.68</v>
      </c>
      <c r="AD52" s="3">
        <f t="shared" si="1"/>
        <v>616554.30999999994</v>
      </c>
    </row>
    <row r="53" spans="1:30" x14ac:dyDescent="0.3">
      <c r="A53" s="30" t="s">
        <v>0</v>
      </c>
      <c r="B53" s="30" t="s">
        <v>20</v>
      </c>
      <c r="C53" s="30" t="s">
        <v>257</v>
      </c>
      <c r="D53">
        <v>2025</v>
      </c>
      <c r="E53">
        <v>155</v>
      </c>
      <c r="F53" s="30" t="s">
        <v>53</v>
      </c>
      <c r="G53" s="30" t="s">
        <v>29</v>
      </c>
      <c r="H53" s="30" t="s">
        <v>30</v>
      </c>
      <c r="I53" s="2">
        <v>2252.69</v>
      </c>
      <c r="J53" s="2">
        <v>2250.9499999999998</v>
      </c>
      <c r="K53" s="2">
        <v>614.50940000000003</v>
      </c>
      <c r="L53" s="2">
        <v>180.07</v>
      </c>
      <c r="M53" s="2">
        <v>450</v>
      </c>
      <c r="N53" s="2">
        <v>0</v>
      </c>
      <c r="O53" s="2">
        <v>0</v>
      </c>
      <c r="P53" s="2">
        <v>0</v>
      </c>
      <c r="Q53" s="2">
        <v>3497.2694000000001</v>
      </c>
      <c r="R53" s="2">
        <v>31.69</v>
      </c>
      <c r="S53" s="2">
        <v>1477999.27</v>
      </c>
      <c r="T53" s="1">
        <v>2.3662185908928089E-3</v>
      </c>
      <c r="W53" s="16" t="s">
        <v>72</v>
      </c>
      <c r="X53" t="s">
        <v>257</v>
      </c>
      <c r="Y53" s="16">
        <v>2025</v>
      </c>
      <c r="Z53" s="15" t="s">
        <v>26</v>
      </c>
      <c r="AA53" s="2">
        <v>182999.79</v>
      </c>
      <c r="AB53">
        <f>COUNTIFS(FOLHA_ADM[EMPRESA],W53,FOLHA_ADM[[MÊS ]],X53,FOLHA_ADM[[ANO ]],Y53,FOLHA_ADM[DEPARTAMENTO],Z53)</f>
        <v>6</v>
      </c>
      <c r="AC53" s="2">
        <f>SUMIFS(FOLHA_ADM[TOTAL],FOLHA_ADM[EMPRESA],W53,FOLHA_ADM[[MÊS ]],X53,FOLHA_ADM[[ANO ]],Y53,FOLHA_ADM[DEPARTAMENTO],Z53)</f>
        <v>21810.599000000002</v>
      </c>
      <c r="AD53" s="3">
        <f t="shared" si="1"/>
        <v>30499.965</v>
      </c>
    </row>
    <row r="54" spans="1:30" x14ac:dyDescent="0.3">
      <c r="A54" s="30" t="s">
        <v>0</v>
      </c>
      <c r="B54" s="30" t="s">
        <v>20</v>
      </c>
      <c r="C54" s="30" t="s">
        <v>257</v>
      </c>
      <c r="D54">
        <v>2025</v>
      </c>
      <c r="E54">
        <v>116</v>
      </c>
      <c r="F54" s="30" t="s">
        <v>54</v>
      </c>
      <c r="G54" s="30" t="s">
        <v>39</v>
      </c>
      <c r="H54" s="30" t="s">
        <v>55</v>
      </c>
      <c r="I54" s="2">
        <v>2242.69</v>
      </c>
      <c r="J54" s="2">
        <v>2116.23</v>
      </c>
      <c r="K54" s="2">
        <v>577.73080000000004</v>
      </c>
      <c r="L54" s="2">
        <v>169.29</v>
      </c>
      <c r="M54" s="2">
        <v>350</v>
      </c>
      <c r="N54" s="2">
        <v>0</v>
      </c>
      <c r="O54" s="2">
        <v>0</v>
      </c>
      <c r="P54" s="2">
        <v>0</v>
      </c>
      <c r="Q54" s="2">
        <v>3339.7107999999998</v>
      </c>
      <c r="R54" s="2">
        <v>4.46</v>
      </c>
      <c r="S54" s="2">
        <v>1477999.27</v>
      </c>
      <c r="T54" s="1">
        <v>2.2596159942622975E-3</v>
      </c>
      <c r="W54" s="16" t="s">
        <v>72</v>
      </c>
      <c r="X54" t="s">
        <v>257</v>
      </c>
      <c r="Y54" s="16">
        <v>2025</v>
      </c>
      <c r="Z54" s="15" t="s">
        <v>29</v>
      </c>
      <c r="AA54" s="2">
        <v>1849662.93</v>
      </c>
      <c r="AB54">
        <f>COUNTIFS(FOLHA_ADM[EMPRESA],W54,FOLHA_ADM[[MÊS ]],X54,FOLHA_ADM[[ANO ]],Y54,FOLHA_ADM[DEPARTAMENTO],Z54)</f>
        <v>15</v>
      </c>
      <c r="AC54" s="2">
        <f>SUMIFS(FOLHA_ADM[TOTAL],FOLHA_ADM[EMPRESA],W54,FOLHA_ADM[[MÊS ]],X54,FOLHA_ADM[[ANO ]],Y54,FOLHA_ADM[DEPARTAMENTO],Z54)</f>
        <v>51951.538400000005</v>
      </c>
      <c r="AD54" s="3">
        <f t="shared" si="1"/>
        <v>123310.86199999999</v>
      </c>
    </row>
    <row r="55" spans="1:30" x14ac:dyDescent="0.3">
      <c r="A55" s="30" t="s">
        <v>0</v>
      </c>
      <c r="B55" s="30" t="s">
        <v>20</v>
      </c>
      <c r="C55" s="30" t="s">
        <v>257</v>
      </c>
      <c r="D55">
        <v>2025</v>
      </c>
      <c r="E55">
        <v>203</v>
      </c>
      <c r="F55" s="30" t="s">
        <v>260</v>
      </c>
      <c r="G55" s="30" t="s">
        <v>29</v>
      </c>
      <c r="H55" s="30" t="s">
        <v>30</v>
      </c>
      <c r="I55" s="2">
        <v>1578.32</v>
      </c>
      <c r="J55" s="2">
        <v>1557.84</v>
      </c>
      <c r="K55" s="2">
        <v>425.2903</v>
      </c>
      <c r="L55" s="2">
        <v>124.62</v>
      </c>
      <c r="M55" s="2">
        <v>238</v>
      </c>
      <c r="N55" s="2">
        <v>0</v>
      </c>
      <c r="O55" s="2">
        <v>0</v>
      </c>
      <c r="P55" s="2">
        <v>0</v>
      </c>
      <c r="Q55" s="2">
        <v>2366.2303000000002</v>
      </c>
      <c r="R55" s="2">
        <v>23.62</v>
      </c>
      <c r="S55" s="2">
        <v>1477999.27</v>
      </c>
      <c r="T55" s="1">
        <v>1.600968530924917E-3</v>
      </c>
      <c r="W55" s="16" t="s">
        <v>72</v>
      </c>
      <c r="X55" t="s">
        <v>257</v>
      </c>
      <c r="Y55" s="16">
        <v>2025</v>
      </c>
      <c r="Z55" s="15" t="s">
        <v>33</v>
      </c>
      <c r="AA55" s="2">
        <v>1149861.0900000001</v>
      </c>
      <c r="AB55">
        <f>COUNTIFS(FOLHA_ADM[EMPRESA],W55,FOLHA_ADM[[MÊS ]],X55,FOLHA_ADM[[ANO ]],Y55,FOLHA_ADM[DEPARTAMENTO],Z55)</f>
        <v>14</v>
      </c>
      <c r="AC55" s="2">
        <f>SUMIFS(FOLHA_ADM[TOTAL],FOLHA_ADM[EMPRESA],W55,FOLHA_ADM[[MÊS ]],X55,FOLHA_ADM[[ANO ]],Y55,FOLHA_ADM[DEPARTAMENTO],Z55)</f>
        <v>41981.462</v>
      </c>
      <c r="AD55" s="3">
        <f t="shared" si="1"/>
        <v>82132.935000000012</v>
      </c>
    </row>
    <row r="56" spans="1:30" x14ac:dyDescent="0.3">
      <c r="A56" s="30" t="s">
        <v>0</v>
      </c>
      <c r="B56" s="30" t="s">
        <v>20</v>
      </c>
      <c r="C56" s="30" t="s">
        <v>257</v>
      </c>
      <c r="D56">
        <v>2025</v>
      </c>
      <c r="E56">
        <v>192</v>
      </c>
      <c r="F56" s="30" t="s">
        <v>56</v>
      </c>
      <c r="G56" s="30" t="s">
        <v>39</v>
      </c>
      <c r="H56" s="30" t="s">
        <v>57</v>
      </c>
      <c r="I56" s="2">
        <v>2473.87</v>
      </c>
      <c r="J56" s="2">
        <v>2404.08</v>
      </c>
      <c r="K56" s="2">
        <v>656.31380000000001</v>
      </c>
      <c r="L56" s="2">
        <v>192.32</v>
      </c>
      <c r="M56" s="2">
        <v>350</v>
      </c>
      <c r="N56" s="2">
        <v>0</v>
      </c>
      <c r="O56" s="2">
        <v>0</v>
      </c>
      <c r="P56" s="2">
        <v>216.8</v>
      </c>
      <c r="Q56" s="2">
        <v>3889.3038000000001</v>
      </c>
      <c r="R56" s="2">
        <v>48.37</v>
      </c>
      <c r="S56" s="2">
        <v>1477999.27</v>
      </c>
      <c r="T56" s="1">
        <v>2.6314653321851773E-3</v>
      </c>
      <c r="W56" s="16" t="s">
        <v>72</v>
      </c>
      <c r="X56" t="s">
        <v>257</v>
      </c>
      <c r="Y56" s="16">
        <v>2025</v>
      </c>
      <c r="Z56" s="15" t="s">
        <v>39</v>
      </c>
      <c r="AA56" s="2">
        <v>272159.07</v>
      </c>
      <c r="AB56">
        <f>COUNTIFS(FOLHA_ADM[EMPRESA],W56,FOLHA_ADM[[MÊS ]],X56,FOLHA_ADM[[ANO ]],Y56,FOLHA_ADM[DEPARTAMENTO],Z56)</f>
        <v>6</v>
      </c>
      <c r="AC56" s="2">
        <f>SUMIFS(FOLHA_ADM[TOTAL],FOLHA_ADM[EMPRESA],W56,FOLHA_ADM[[MÊS ]],X56,FOLHA_ADM[[ANO ]],Y56,FOLHA_ADM[DEPARTAMENTO],Z56)</f>
        <v>23324.3989</v>
      </c>
      <c r="AD56" s="3">
        <f t="shared" si="1"/>
        <v>45359.845000000001</v>
      </c>
    </row>
    <row r="57" spans="1:30" x14ac:dyDescent="0.3">
      <c r="A57" s="30" t="s">
        <v>0</v>
      </c>
      <c r="B57" s="30" t="s">
        <v>20</v>
      </c>
      <c r="C57" s="30" t="s">
        <v>257</v>
      </c>
      <c r="D57">
        <v>2025</v>
      </c>
      <c r="E57">
        <v>173</v>
      </c>
      <c r="F57" s="30" t="s">
        <v>58</v>
      </c>
      <c r="G57" s="30" t="s">
        <v>39</v>
      </c>
      <c r="H57" s="30" t="s">
        <v>27</v>
      </c>
      <c r="I57" s="2">
        <v>2085.96</v>
      </c>
      <c r="J57" s="2">
        <v>1753.96</v>
      </c>
      <c r="K57" s="2">
        <v>478.83109999999999</v>
      </c>
      <c r="L57" s="2">
        <v>140.31</v>
      </c>
      <c r="M57" s="2">
        <v>350</v>
      </c>
      <c r="N57" s="2">
        <v>0</v>
      </c>
      <c r="O57" s="2">
        <v>0</v>
      </c>
      <c r="P57" s="2">
        <v>0</v>
      </c>
      <c r="Q57" s="2">
        <v>3055.1010999999999</v>
      </c>
      <c r="R57" s="2">
        <v>7.75</v>
      </c>
      <c r="S57" s="2">
        <v>1477999.27</v>
      </c>
      <c r="T57" s="1">
        <v>2.067051819315175E-3</v>
      </c>
      <c r="W57" s="16" t="s">
        <v>72</v>
      </c>
      <c r="X57" t="s">
        <v>257</v>
      </c>
      <c r="Y57" s="16">
        <v>2025</v>
      </c>
      <c r="Z57" s="15" t="s">
        <v>42</v>
      </c>
      <c r="AA57" s="2">
        <v>1849662.93</v>
      </c>
      <c r="AB57">
        <f>COUNTIFS(FOLHA_ADM[EMPRESA],W57,FOLHA_ADM[[MÊS ]],X57,FOLHA_ADM[[ANO ]],Y57,FOLHA_ADM[DEPARTAMENTO],Z57)</f>
        <v>2</v>
      </c>
      <c r="AC57" s="2">
        <f>SUMIFS(FOLHA_ADM[TOTAL],FOLHA_ADM[EMPRESA],W57,FOLHA_ADM[[MÊS ]],X57,FOLHA_ADM[[ANO ]],Y57,FOLHA_ADM[DEPARTAMENTO],Z57)</f>
        <v>7397.8969999999999</v>
      </c>
      <c r="AD57" s="3">
        <f t="shared" si="1"/>
        <v>924831.46499999997</v>
      </c>
    </row>
    <row r="58" spans="1:30" x14ac:dyDescent="0.3">
      <c r="A58" s="30" t="s">
        <v>0</v>
      </c>
      <c r="B58" s="30" t="s">
        <v>20</v>
      </c>
      <c r="C58" s="30" t="s">
        <v>257</v>
      </c>
      <c r="D58">
        <v>2025</v>
      </c>
      <c r="E58">
        <v>154</v>
      </c>
      <c r="F58" s="30" t="s">
        <v>59</v>
      </c>
      <c r="G58" s="30" t="s">
        <v>26</v>
      </c>
      <c r="H58" s="30" t="s">
        <v>60</v>
      </c>
      <c r="I58" s="2">
        <v>2007.03</v>
      </c>
      <c r="J58" s="2">
        <v>2004.97</v>
      </c>
      <c r="K58" s="2">
        <v>547.35680000000002</v>
      </c>
      <c r="L58" s="2">
        <v>160.38999999999999</v>
      </c>
      <c r="M58" s="2">
        <v>294</v>
      </c>
      <c r="N58" s="2">
        <v>0</v>
      </c>
      <c r="O58" s="2">
        <v>0</v>
      </c>
      <c r="P58" s="2">
        <v>0</v>
      </c>
      <c r="Q58" s="2">
        <v>3008.7768000000001</v>
      </c>
      <c r="R58" s="2">
        <v>32.03</v>
      </c>
      <c r="S58" s="2">
        <v>1477999.27</v>
      </c>
      <c r="T58" s="1">
        <v>2.0357092666223034E-3</v>
      </c>
      <c r="W58" s="16" t="s">
        <v>72</v>
      </c>
      <c r="X58" t="s">
        <v>257</v>
      </c>
      <c r="Y58" s="16">
        <v>2025</v>
      </c>
      <c r="Z58" s="15" t="s">
        <v>76</v>
      </c>
      <c r="AA58" s="2">
        <v>1849662.93</v>
      </c>
      <c r="AB58">
        <f>COUNTIFS(FOLHA_ADM[EMPRESA],W58,FOLHA_ADM[[MÊS ]],X58,FOLHA_ADM[[ANO ]],Y58,FOLHA_ADM[DEPARTAMENTO],Z58)</f>
        <v>1</v>
      </c>
      <c r="AC58" s="2">
        <f>SUMIFS(FOLHA_ADM[TOTAL],FOLHA_ADM[EMPRESA],W58,FOLHA_ADM[[MÊS ]],X58,FOLHA_ADM[[ANO ]],Y58,FOLHA_ADM[DEPARTAMENTO],Z58)</f>
        <v>9788.8919999999998</v>
      </c>
      <c r="AD58" s="3">
        <f t="shared" si="1"/>
        <v>1849662.93</v>
      </c>
    </row>
    <row r="59" spans="1:30" x14ac:dyDescent="0.3">
      <c r="A59" s="30" t="s">
        <v>0</v>
      </c>
      <c r="B59" s="30" t="s">
        <v>20</v>
      </c>
      <c r="C59" s="30" t="s">
        <v>257</v>
      </c>
      <c r="D59">
        <v>2025</v>
      </c>
      <c r="E59">
        <v>196</v>
      </c>
      <c r="F59" s="30" t="s">
        <v>61</v>
      </c>
      <c r="G59" s="30" t="s">
        <v>33</v>
      </c>
      <c r="H59" s="30" t="s">
        <v>50</v>
      </c>
      <c r="I59" s="2">
        <v>2329.16</v>
      </c>
      <c r="J59" s="2">
        <v>2329.16</v>
      </c>
      <c r="K59" s="2">
        <v>635.86069999999995</v>
      </c>
      <c r="L59" s="2">
        <v>186.33</v>
      </c>
      <c r="M59" s="2">
        <v>350</v>
      </c>
      <c r="N59" s="2">
        <v>80</v>
      </c>
      <c r="O59" s="2">
        <v>0</v>
      </c>
      <c r="P59" s="2">
        <v>0</v>
      </c>
      <c r="Q59" s="2">
        <v>3581.3507</v>
      </c>
      <c r="R59" s="2">
        <v>354.16</v>
      </c>
      <c r="S59" s="2">
        <v>1477999.27</v>
      </c>
      <c r="T59" s="1">
        <v>2.4231072049176322E-3</v>
      </c>
      <c r="W59" s="16" t="s">
        <v>72</v>
      </c>
      <c r="X59" t="s">
        <v>257</v>
      </c>
      <c r="Y59" s="16">
        <v>2025</v>
      </c>
      <c r="Z59" s="15" t="s">
        <v>89</v>
      </c>
      <c r="AA59" s="2">
        <v>206770.89</v>
      </c>
      <c r="AB59">
        <f>COUNTIFS(FOLHA_ADM[EMPRESA],W59,FOLHA_ADM[[MÊS ]],X59,FOLHA_ADM[[ANO ]],Y59,FOLHA_ADM[DEPARTAMENTO],Z59)</f>
        <v>3</v>
      </c>
      <c r="AC59" s="2">
        <f>SUMIFS(FOLHA_ADM[TOTAL],FOLHA_ADM[EMPRESA],W59,FOLHA_ADM[[MÊS ]],X59,FOLHA_ADM[[ANO ]],Y59,FOLHA_ADM[DEPARTAMENTO],Z59)</f>
        <v>9063.8958000000002</v>
      </c>
      <c r="AD59" s="3">
        <f t="shared" si="1"/>
        <v>68923.63</v>
      </c>
    </row>
    <row r="60" spans="1:30" x14ac:dyDescent="0.3">
      <c r="A60" s="30" t="s">
        <v>0</v>
      </c>
      <c r="B60" s="30" t="s">
        <v>20</v>
      </c>
      <c r="C60" s="30" t="s">
        <v>257</v>
      </c>
      <c r="D60">
        <v>2025</v>
      </c>
      <c r="E60">
        <v>177</v>
      </c>
      <c r="F60" s="30" t="s">
        <v>62</v>
      </c>
      <c r="G60" s="30" t="s">
        <v>39</v>
      </c>
      <c r="H60" s="30" t="s">
        <v>60</v>
      </c>
      <c r="I60" s="2">
        <v>2007.03</v>
      </c>
      <c r="J60" s="2">
        <v>1848.44</v>
      </c>
      <c r="K60" s="2">
        <v>504.6241</v>
      </c>
      <c r="L60" s="2">
        <v>147.87</v>
      </c>
      <c r="M60" s="2">
        <v>266</v>
      </c>
      <c r="N60" s="2">
        <v>0</v>
      </c>
      <c r="O60" s="2">
        <v>0</v>
      </c>
      <c r="P60" s="2">
        <v>0</v>
      </c>
      <c r="Q60" s="2">
        <v>2925.5241000000001</v>
      </c>
      <c r="R60" s="2">
        <v>32.03</v>
      </c>
      <c r="S60" s="2">
        <v>1477999.27</v>
      </c>
      <c r="T60" s="1">
        <v>1.9793813024007786E-3</v>
      </c>
      <c r="W60" s="16" t="s">
        <v>72</v>
      </c>
      <c r="X60" t="s">
        <v>257</v>
      </c>
      <c r="Y60" s="16">
        <v>2025</v>
      </c>
      <c r="Z60" s="15" t="s">
        <v>125</v>
      </c>
      <c r="AA60" s="2">
        <v>0</v>
      </c>
      <c r="AB60">
        <f>COUNTIFS(FOLHA_ADM[EMPRESA],W60,FOLHA_ADM[[MÊS ]],X60,FOLHA_ADM[[ANO ]],Y60,FOLHA_ADM[DEPARTAMENTO],Z60)</f>
        <v>0</v>
      </c>
      <c r="AC60" s="2">
        <f>SUMIFS(FOLHA_ADM[TOTAL],FOLHA_ADM[EMPRESA],W60,FOLHA_ADM[[MÊS ]],X60,FOLHA_ADM[[ANO ]],Y60,FOLHA_ADM[DEPARTAMENTO],Z60)</f>
        <v>0</v>
      </c>
      <c r="AD60" s="3">
        <f t="shared" si="1"/>
        <v>0</v>
      </c>
    </row>
    <row r="61" spans="1:30" x14ac:dyDescent="0.3">
      <c r="A61" s="30" t="s">
        <v>0</v>
      </c>
      <c r="B61" s="30" t="s">
        <v>20</v>
      </c>
      <c r="C61" s="30" t="s">
        <v>257</v>
      </c>
      <c r="D61">
        <v>2025</v>
      </c>
      <c r="E61">
        <v>199</v>
      </c>
      <c r="F61" s="30" t="s">
        <v>63</v>
      </c>
      <c r="G61" s="30" t="s">
        <v>33</v>
      </c>
      <c r="H61" s="30" t="s">
        <v>64</v>
      </c>
      <c r="I61" s="2">
        <v>1975</v>
      </c>
      <c r="J61" s="2">
        <v>1727.41</v>
      </c>
      <c r="K61" s="2">
        <v>471.5829</v>
      </c>
      <c r="L61" s="2">
        <v>138.19</v>
      </c>
      <c r="M61" s="2">
        <v>336</v>
      </c>
      <c r="N61" s="2">
        <v>80</v>
      </c>
      <c r="O61" s="2">
        <v>0</v>
      </c>
      <c r="P61" s="2">
        <v>0</v>
      </c>
      <c r="Q61" s="2">
        <v>3000.7728999999999</v>
      </c>
      <c r="R61" s="2">
        <v>0</v>
      </c>
      <c r="S61" s="2">
        <v>1477999.27</v>
      </c>
      <c r="T61" s="1">
        <v>2.0302939188867118E-3</v>
      </c>
      <c r="W61" s="16" t="s">
        <v>72</v>
      </c>
      <c r="X61" t="s">
        <v>257</v>
      </c>
      <c r="Y61" s="16">
        <v>2025</v>
      </c>
      <c r="Z61" s="19" t="s">
        <v>217</v>
      </c>
      <c r="AA61" s="2">
        <v>1849662.93</v>
      </c>
      <c r="AB61">
        <f>COUNTIFS(FOLHA_ADM[EMPRESA],W61,FOLHA_ADM[[MÊS ]],X61,FOLHA_ADM[[ANO ]],Y61,FOLHA_ADM[DEPARTAMENTO],Z61)</f>
        <v>2</v>
      </c>
      <c r="AC61" s="20">
        <f>SUMIFS(FOLHA_ADM[TOTAL],FOLHA_ADM[EMPRESA],W61,FOLHA_ADM[[MÊS ]],X61,FOLHA_ADM[[ANO ]],Y61,FOLHA_ADM[DEPARTAMENTO],Z61)</f>
        <v>5765.7199999999993</v>
      </c>
      <c r="AD61" s="3">
        <f t="shared" si="1"/>
        <v>924831.46499999997</v>
      </c>
    </row>
    <row r="62" spans="1:30" x14ac:dyDescent="0.3">
      <c r="A62" s="30" t="s">
        <v>0</v>
      </c>
      <c r="B62" s="30" t="s">
        <v>20</v>
      </c>
      <c r="C62" s="30" t="s">
        <v>257</v>
      </c>
      <c r="D62">
        <v>2025</v>
      </c>
      <c r="E62">
        <v>2001</v>
      </c>
      <c r="F62" s="30" t="s">
        <v>65</v>
      </c>
      <c r="G62" s="30" t="s">
        <v>33</v>
      </c>
      <c r="H62" s="30" t="s">
        <v>64</v>
      </c>
      <c r="I62" s="2">
        <v>852.92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306.8</v>
      </c>
      <c r="Q62" s="2">
        <v>1159.72</v>
      </c>
      <c r="R62" s="2">
        <v>0</v>
      </c>
      <c r="S62" s="2">
        <v>1477999.27</v>
      </c>
      <c r="T62" s="1">
        <v>7.8465532665655509E-4</v>
      </c>
      <c r="W62" t="s">
        <v>20</v>
      </c>
      <c r="X62" t="s">
        <v>273</v>
      </c>
      <c r="Y62">
        <v>2025</v>
      </c>
      <c r="Z62" s="31" t="s">
        <v>23</v>
      </c>
      <c r="AA62" s="2">
        <v>1519761.37</v>
      </c>
      <c r="AB62">
        <f>COUNTIFS(FOLHA_ADM[EMPRESA],W62,FOLHA_ADM[[MÊS ]],X62,FOLHA_ADM[[ANO ]],Y62,FOLHA_ADM[DEPARTAMENTO],Z62)</f>
        <v>3</v>
      </c>
      <c r="AC62" s="2">
        <f>SUMIFS(FOLHA_ADM[TOTAL],FOLHA_ADM[EMPRESA],W62,FOLHA_ADM[[MÊS ]],X62,FOLHA_ADM[[ANO ]],Y62,FOLHA_ADM[DEPARTAMENTO],Z62)</f>
        <v>12116.697899999999</v>
      </c>
      <c r="AD62" s="3">
        <f t="shared" ref="AD62:AD91" si="2">IFERROR(AA62/AB62,0)</f>
        <v>506587.12333333335</v>
      </c>
    </row>
    <row r="63" spans="1:30" x14ac:dyDescent="0.3">
      <c r="A63" s="30" t="s">
        <v>0</v>
      </c>
      <c r="B63" s="30" t="s">
        <v>20</v>
      </c>
      <c r="C63" s="30" t="s">
        <v>257</v>
      </c>
      <c r="D63">
        <v>2025</v>
      </c>
      <c r="E63">
        <v>2002</v>
      </c>
      <c r="F63" s="30" t="s">
        <v>66</v>
      </c>
      <c r="G63" s="30" t="s">
        <v>33</v>
      </c>
      <c r="H63" s="30" t="s">
        <v>64</v>
      </c>
      <c r="I63" s="2">
        <v>900.4</v>
      </c>
      <c r="J63" s="2">
        <v>0</v>
      </c>
      <c r="K63" s="2">
        <v>0</v>
      </c>
      <c r="L63" s="2">
        <v>0</v>
      </c>
      <c r="M63" s="2">
        <v>0</v>
      </c>
      <c r="N63" s="2">
        <v>80</v>
      </c>
      <c r="O63" s="2">
        <v>0</v>
      </c>
      <c r="P63" s="2">
        <v>306.8</v>
      </c>
      <c r="Q63" s="2">
        <v>1287.2</v>
      </c>
      <c r="R63" s="2">
        <v>0</v>
      </c>
      <c r="S63" s="2">
        <v>1477999.27</v>
      </c>
      <c r="T63" s="1">
        <v>8.709070607321748E-4</v>
      </c>
      <c r="W63" t="s">
        <v>20</v>
      </c>
      <c r="X63" t="s">
        <v>273</v>
      </c>
      <c r="Y63">
        <v>2025</v>
      </c>
      <c r="Z63" s="31" t="s">
        <v>26</v>
      </c>
      <c r="AA63" s="2">
        <v>108515.69</v>
      </c>
      <c r="AB63">
        <f>COUNTIFS(FOLHA_ADM[EMPRESA],W63,FOLHA_ADM[[MÊS ]],X63,FOLHA_ADM[[ANO ]],Y63,FOLHA_ADM[DEPARTAMENTO],Z63)</f>
        <v>5</v>
      </c>
      <c r="AC63" s="2">
        <f>SUMIFS(FOLHA_ADM[TOTAL],FOLHA_ADM[EMPRESA],W63,FOLHA_ADM[[MÊS ]],X63,FOLHA_ADM[[ANO ]],Y63,FOLHA_ADM[DEPARTAMENTO],Z63)</f>
        <v>16969.537899999999</v>
      </c>
      <c r="AD63" s="3">
        <f t="shared" si="2"/>
        <v>21703.137999999999</v>
      </c>
    </row>
    <row r="64" spans="1:30" x14ac:dyDescent="0.3">
      <c r="A64" s="30" t="s">
        <v>0</v>
      </c>
      <c r="B64" s="30" t="s">
        <v>20</v>
      </c>
      <c r="C64" s="30" t="s">
        <v>257</v>
      </c>
      <c r="D64">
        <v>2025</v>
      </c>
      <c r="E64">
        <v>2003</v>
      </c>
      <c r="F64" s="30" t="s">
        <v>67</v>
      </c>
      <c r="G64" s="30" t="s">
        <v>33</v>
      </c>
      <c r="H64" s="30" t="s">
        <v>64</v>
      </c>
      <c r="I64" s="2">
        <v>861.4</v>
      </c>
      <c r="J64" s="2">
        <v>0</v>
      </c>
      <c r="K64" s="2">
        <v>0</v>
      </c>
      <c r="L64" s="2">
        <v>0</v>
      </c>
      <c r="M64" s="2">
        <v>0</v>
      </c>
      <c r="N64" s="2">
        <v>80</v>
      </c>
      <c r="O64" s="2">
        <v>0</v>
      </c>
      <c r="P64" s="2">
        <v>0</v>
      </c>
      <c r="Q64" s="2">
        <v>941.4</v>
      </c>
      <c r="R64" s="2">
        <v>0</v>
      </c>
      <c r="S64" s="2">
        <v>1477999.27</v>
      </c>
      <c r="T64" s="1">
        <v>6.369421278536897E-4</v>
      </c>
      <c r="W64" t="s">
        <v>20</v>
      </c>
      <c r="X64" t="s">
        <v>273</v>
      </c>
      <c r="Y64">
        <v>2025</v>
      </c>
      <c r="Z64" s="31" t="s">
        <v>29</v>
      </c>
      <c r="AA64" s="2">
        <v>1519761.37</v>
      </c>
      <c r="AB64">
        <f>COUNTIFS(FOLHA_ADM[EMPRESA],W64,FOLHA_ADM[[MÊS ]],X64,FOLHA_ADM[[ANO ]],Y64,FOLHA_ADM[DEPARTAMENTO],Z64)</f>
        <v>17</v>
      </c>
      <c r="AC64" s="2">
        <f>SUMIFS(FOLHA_ADM[TOTAL],FOLHA_ADM[EMPRESA],W64,FOLHA_ADM[[MÊS ]],X64,FOLHA_ADM[[ANO ]],Y64,FOLHA_ADM[DEPARTAMENTO],Z64)</f>
        <v>54675.086800000005</v>
      </c>
      <c r="AD64" s="3">
        <f t="shared" si="2"/>
        <v>89397.727647058826</v>
      </c>
    </row>
    <row r="65" spans="1:30" x14ac:dyDescent="0.3">
      <c r="A65" s="30" t="s">
        <v>0</v>
      </c>
      <c r="B65" s="30" t="s">
        <v>20</v>
      </c>
      <c r="C65" s="30" t="s">
        <v>257</v>
      </c>
      <c r="D65">
        <v>2025</v>
      </c>
      <c r="E65">
        <v>2004</v>
      </c>
      <c r="F65" s="30" t="s">
        <v>68</v>
      </c>
      <c r="G65" s="30" t="s">
        <v>33</v>
      </c>
      <c r="H65" s="30" t="s">
        <v>64</v>
      </c>
      <c r="I65" s="2">
        <v>868.97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306.8</v>
      </c>
      <c r="Q65" s="2">
        <v>1175.77</v>
      </c>
      <c r="R65" s="2">
        <v>0</v>
      </c>
      <c r="S65" s="2">
        <v>1477999.27</v>
      </c>
      <c r="T65" s="1">
        <v>7.955146013028815E-4</v>
      </c>
      <c r="W65" t="s">
        <v>20</v>
      </c>
      <c r="X65" t="s">
        <v>273</v>
      </c>
      <c r="Y65">
        <v>2025</v>
      </c>
      <c r="Z65" s="31" t="s">
        <v>33</v>
      </c>
      <c r="AA65" s="2">
        <v>1027664.67</v>
      </c>
      <c r="AB65">
        <f>COUNTIFS(FOLHA_ADM[EMPRESA],W65,FOLHA_ADM[[MÊS ]],X65,FOLHA_ADM[[ANO ]],Y65,FOLHA_ADM[DEPARTAMENTO],Z65)</f>
        <v>12</v>
      </c>
      <c r="AC65" s="2">
        <f>SUMIFS(FOLHA_ADM[TOTAL],FOLHA_ADM[EMPRESA],W65,FOLHA_ADM[[MÊS ]],X65,FOLHA_ADM[[ANO ]],Y65,FOLHA_ADM[DEPARTAMENTO],Z65)</f>
        <v>36139.689699999995</v>
      </c>
      <c r="AD65" s="3">
        <f t="shared" si="2"/>
        <v>85638.722500000003</v>
      </c>
    </row>
    <row r="66" spans="1:30" x14ac:dyDescent="0.3">
      <c r="A66" s="30" t="s">
        <v>0</v>
      </c>
      <c r="B66" s="30" t="s">
        <v>20</v>
      </c>
      <c r="C66" s="30" t="s">
        <v>257</v>
      </c>
      <c r="D66">
        <v>2025</v>
      </c>
      <c r="E66">
        <v>201</v>
      </c>
      <c r="F66" s="30" t="s">
        <v>69</v>
      </c>
      <c r="G66" s="30" t="s">
        <v>39</v>
      </c>
      <c r="H66" s="30" t="s">
        <v>57</v>
      </c>
      <c r="I66" s="2">
        <v>2536.34</v>
      </c>
      <c r="J66" s="2">
        <v>2279.8200000000002</v>
      </c>
      <c r="K66" s="2">
        <v>622.39089999999999</v>
      </c>
      <c r="L66" s="2">
        <v>182.38</v>
      </c>
      <c r="M66" s="2">
        <v>642</v>
      </c>
      <c r="N66" s="2">
        <v>0</v>
      </c>
      <c r="O66" s="2">
        <v>0</v>
      </c>
      <c r="P66" s="2">
        <v>0</v>
      </c>
      <c r="Q66" s="2">
        <v>3983.1109000000001</v>
      </c>
      <c r="R66" s="2">
        <v>110.84</v>
      </c>
      <c r="S66" s="2">
        <v>1477999.27</v>
      </c>
      <c r="T66" s="1">
        <v>2.6949342539255789E-3</v>
      </c>
      <c r="W66" t="s">
        <v>20</v>
      </c>
      <c r="X66" t="s">
        <v>273</v>
      </c>
      <c r="Y66">
        <v>2025</v>
      </c>
      <c r="Z66" s="31" t="s">
        <v>39</v>
      </c>
      <c r="AA66" s="2">
        <v>227682.2</v>
      </c>
      <c r="AB66">
        <f>COUNTIFS(FOLHA_ADM[EMPRESA],W66,FOLHA_ADM[[MÊS ]],X66,FOLHA_ADM[[ANO ]],Y66,FOLHA_ADM[DEPARTAMENTO],Z66)</f>
        <v>6</v>
      </c>
      <c r="AC66" s="2">
        <f>SUMIFS(FOLHA_ADM[TOTAL],FOLHA_ADM[EMPRESA],W66,FOLHA_ADM[[MÊS ]],X66,FOLHA_ADM[[ANO ]],Y66,FOLHA_ADM[DEPARTAMENTO],Z66)</f>
        <v>24822.561199999996</v>
      </c>
      <c r="AD66" s="3">
        <f t="shared" si="2"/>
        <v>37947.033333333333</v>
      </c>
    </row>
    <row r="67" spans="1:30" x14ac:dyDescent="0.3">
      <c r="A67" s="30" t="s">
        <v>0</v>
      </c>
      <c r="B67" s="30" t="s">
        <v>20</v>
      </c>
      <c r="C67" s="30" t="s">
        <v>257</v>
      </c>
      <c r="D67">
        <v>2025</v>
      </c>
      <c r="E67">
        <v>200</v>
      </c>
      <c r="F67" s="30" t="s">
        <v>70</v>
      </c>
      <c r="G67" s="30" t="s">
        <v>29</v>
      </c>
      <c r="H67" s="30" t="s">
        <v>30</v>
      </c>
      <c r="I67" s="2">
        <v>2249.9299999999998</v>
      </c>
      <c r="J67" s="2">
        <v>2213.42</v>
      </c>
      <c r="K67" s="2">
        <v>604.26369999999997</v>
      </c>
      <c r="L67" s="2">
        <v>177.07</v>
      </c>
      <c r="M67" s="2">
        <v>640</v>
      </c>
      <c r="N67" s="2">
        <v>0</v>
      </c>
      <c r="O67" s="2">
        <v>0</v>
      </c>
      <c r="P67" s="2">
        <v>0</v>
      </c>
      <c r="Q67" s="2">
        <v>3671.2637</v>
      </c>
      <c r="R67" s="2">
        <v>28.93</v>
      </c>
      <c r="S67" s="2">
        <v>1477999.27</v>
      </c>
      <c r="T67" s="1">
        <v>2.4839414568858342E-3</v>
      </c>
      <c r="W67" t="s">
        <v>20</v>
      </c>
      <c r="X67" t="s">
        <v>273</v>
      </c>
      <c r="Y67">
        <v>2025</v>
      </c>
      <c r="Z67" s="31" t="s">
        <v>42</v>
      </c>
      <c r="AA67" s="2">
        <v>1519761.37</v>
      </c>
      <c r="AB67">
        <f>COUNTIFS(FOLHA_ADM[EMPRESA],W67,FOLHA_ADM[[MÊS ]],X67,FOLHA_ADM[[ANO ]],Y67,FOLHA_ADM[DEPARTAMENTO],Z67)</f>
        <v>2</v>
      </c>
      <c r="AC67" s="2">
        <f>SUMIFS(FOLHA_ADM[TOTAL],FOLHA_ADM[EMPRESA],W67,FOLHA_ADM[[MÊS ]],X67,FOLHA_ADM[[ANO ]],Y67,FOLHA_ADM[DEPARTAMENTO],Z67)</f>
        <v>6032.57</v>
      </c>
      <c r="AD67" s="3">
        <f t="shared" si="2"/>
        <v>759880.68500000006</v>
      </c>
    </row>
    <row r="68" spans="1:30" x14ac:dyDescent="0.3">
      <c r="A68" s="30" t="s">
        <v>0</v>
      </c>
      <c r="B68" s="30" t="s">
        <v>20</v>
      </c>
      <c r="C68" s="30" t="s">
        <v>273</v>
      </c>
      <c r="D68">
        <v>2025</v>
      </c>
      <c r="E68">
        <v>111</v>
      </c>
      <c r="F68" s="30" t="s">
        <v>22</v>
      </c>
      <c r="G68" s="30" t="s">
        <v>23</v>
      </c>
      <c r="H68" s="30" t="s">
        <v>24</v>
      </c>
      <c r="I68" s="2">
        <v>2575.67</v>
      </c>
      <c r="J68" s="2">
        <v>2575.67</v>
      </c>
      <c r="K68" s="2">
        <v>703.15790000000004</v>
      </c>
      <c r="L68" s="2">
        <v>206.05</v>
      </c>
      <c r="M68" s="2">
        <v>312</v>
      </c>
      <c r="O68" s="2">
        <v>122.84</v>
      </c>
      <c r="Q68" s="2">
        <v>3919.7179000000001</v>
      </c>
      <c r="R68" s="2">
        <v>213.29</v>
      </c>
      <c r="S68" s="2">
        <v>1519761.37</v>
      </c>
      <c r="T68" s="1">
        <v>2.5791666950976651E-3</v>
      </c>
      <c r="W68" t="s">
        <v>20</v>
      </c>
      <c r="X68" t="s">
        <v>273</v>
      </c>
      <c r="Y68">
        <v>2025</v>
      </c>
      <c r="Z68" s="31" t="s">
        <v>76</v>
      </c>
      <c r="AA68" s="2">
        <v>1519761.37</v>
      </c>
      <c r="AB68">
        <f>COUNTIFS(FOLHA_ADM[EMPRESA],W68,FOLHA_ADM[[MÊS ]],X68,FOLHA_ADM[[ANO ]],Y68,FOLHA_ADM[DEPARTAMENTO],Z68)</f>
        <v>1</v>
      </c>
      <c r="AC68" s="2">
        <f>SUMIFS(FOLHA_ADM[TOTAL],FOLHA_ADM[EMPRESA],W68,FOLHA_ADM[[MÊS ]],X68,FOLHA_ADM[[ANO ]],Y68,FOLHA_ADM[DEPARTAMENTO],Z68)</f>
        <v>2824</v>
      </c>
      <c r="AD68" s="3">
        <f t="shared" si="2"/>
        <v>1519761.37</v>
      </c>
    </row>
    <row r="69" spans="1:30" x14ac:dyDescent="0.3">
      <c r="A69" s="30" t="s">
        <v>0</v>
      </c>
      <c r="B69" s="30" t="s">
        <v>20</v>
      </c>
      <c r="C69" s="30" t="s">
        <v>273</v>
      </c>
      <c r="D69">
        <v>2025</v>
      </c>
      <c r="E69">
        <v>139</v>
      </c>
      <c r="F69" s="30" t="s">
        <v>25</v>
      </c>
      <c r="G69" s="30" t="s">
        <v>26</v>
      </c>
      <c r="H69" s="30" t="s">
        <v>27</v>
      </c>
      <c r="I69" s="2">
        <v>2588.5</v>
      </c>
      <c r="J69" s="2">
        <v>2577.12</v>
      </c>
      <c r="K69" s="2">
        <v>703.55380000000002</v>
      </c>
      <c r="L69" s="2">
        <v>206.16</v>
      </c>
      <c r="M69" s="2">
        <v>336</v>
      </c>
      <c r="N69" s="2">
        <v>80</v>
      </c>
      <c r="Q69" s="2">
        <v>3914.2138</v>
      </c>
      <c r="R69" s="2">
        <v>502.84</v>
      </c>
      <c r="S69" s="2">
        <v>1519761.37</v>
      </c>
      <c r="T69" s="1">
        <v>2.575544975195678E-3</v>
      </c>
      <c r="W69" t="s">
        <v>20</v>
      </c>
      <c r="X69" t="s">
        <v>273</v>
      </c>
      <c r="Y69">
        <v>2025</v>
      </c>
      <c r="Z69" s="31" t="s">
        <v>89</v>
      </c>
      <c r="AA69" s="2">
        <v>141669.79</v>
      </c>
      <c r="AB69">
        <f>COUNTIFS(FOLHA_ADM[EMPRESA],W69,FOLHA_ADM[[MÊS ]],X69,FOLHA_ADM[[ANO ]],Y69,FOLHA_ADM[DEPARTAMENTO],Z69)</f>
        <v>0</v>
      </c>
      <c r="AC69" s="2">
        <f>SUMIFS(FOLHA_ADM[TOTAL],FOLHA_ADM[EMPRESA],W69,FOLHA_ADM[[MÊS ]],X69,FOLHA_ADM[[ANO ]],Y69,FOLHA_ADM[DEPARTAMENTO],Z69)</f>
        <v>0</v>
      </c>
      <c r="AD69" s="3">
        <f t="shared" si="2"/>
        <v>0</v>
      </c>
    </row>
    <row r="70" spans="1:30" x14ac:dyDescent="0.3">
      <c r="A70" s="30" t="s">
        <v>0</v>
      </c>
      <c r="B70" s="30" t="s">
        <v>20</v>
      </c>
      <c r="C70" s="30" t="s">
        <v>273</v>
      </c>
      <c r="D70">
        <v>2025</v>
      </c>
      <c r="E70">
        <v>206</v>
      </c>
      <c r="F70" s="30" t="s">
        <v>274</v>
      </c>
      <c r="G70" s="30" t="s">
        <v>33</v>
      </c>
      <c r="H70" s="30" t="s">
        <v>50</v>
      </c>
      <c r="I70" s="2">
        <v>2232.6799999999998</v>
      </c>
      <c r="J70" s="2">
        <v>2218.59</v>
      </c>
      <c r="K70" s="2">
        <v>605.67510000000004</v>
      </c>
      <c r="L70" s="2">
        <v>177.48</v>
      </c>
      <c r="M70" s="2">
        <v>378</v>
      </c>
      <c r="Q70" s="2">
        <v>3393.8350999999998</v>
      </c>
      <c r="R70" s="2">
        <v>227.51</v>
      </c>
      <c r="S70" s="2">
        <v>1519761.37</v>
      </c>
      <c r="T70" s="1">
        <v>2.2331368180519024E-3</v>
      </c>
      <c r="W70" t="s">
        <v>20</v>
      </c>
      <c r="X70" t="s">
        <v>273</v>
      </c>
      <c r="Y70">
        <v>2025</v>
      </c>
      <c r="Z70" s="31" t="s">
        <v>125</v>
      </c>
      <c r="AA70" s="2">
        <v>0</v>
      </c>
      <c r="AB70">
        <f>COUNTIFS(FOLHA_ADM[EMPRESA],W70,FOLHA_ADM[[MÊS ]],X70,FOLHA_ADM[[ANO ]],Y70,FOLHA_ADM[DEPARTAMENTO],Z70)</f>
        <v>0</v>
      </c>
      <c r="AC70" s="2">
        <f>SUMIFS(FOLHA_ADM[TOTAL],FOLHA_ADM[EMPRESA],W70,FOLHA_ADM[[MÊS ]],X70,FOLHA_ADM[[ANO ]],Y70,FOLHA_ADM[DEPARTAMENTO],Z70)</f>
        <v>0</v>
      </c>
      <c r="AD70" s="3">
        <f t="shared" si="2"/>
        <v>0</v>
      </c>
    </row>
    <row r="71" spans="1:30" x14ac:dyDescent="0.3">
      <c r="A71" s="30" t="s">
        <v>0</v>
      </c>
      <c r="B71" s="30" t="s">
        <v>20</v>
      </c>
      <c r="C71" s="30" t="s">
        <v>273</v>
      </c>
      <c r="D71">
        <v>2025</v>
      </c>
      <c r="E71">
        <v>202</v>
      </c>
      <c r="F71" s="30" t="s">
        <v>28</v>
      </c>
      <c r="G71" s="30" t="s">
        <v>29</v>
      </c>
      <c r="H71" s="30" t="s">
        <v>30</v>
      </c>
      <c r="I71" s="2">
        <v>2062.33</v>
      </c>
      <c r="J71" s="2">
        <v>1560.73</v>
      </c>
      <c r="K71" s="2">
        <v>426.07929999999999</v>
      </c>
      <c r="L71" s="2">
        <v>124.85</v>
      </c>
      <c r="M71" s="2">
        <v>469</v>
      </c>
      <c r="Q71" s="2">
        <v>3082.2593000000002</v>
      </c>
      <c r="R71" s="2">
        <v>0</v>
      </c>
      <c r="S71" s="2">
        <v>1519761.37</v>
      </c>
      <c r="T71" s="1">
        <v>2.0281205660596571E-3</v>
      </c>
      <c r="W71" t="s">
        <v>20</v>
      </c>
      <c r="X71" t="s">
        <v>273</v>
      </c>
      <c r="Y71">
        <v>2025</v>
      </c>
      <c r="Z71" s="31" t="s">
        <v>217</v>
      </c>
      <c r="AA71" s="2">
        <v>1519761.37</v>
      </c>
      <c r="AB71">
        <f>COUNTIFS(FOLHA_ADM[EMPRESA],W71,FOLHA_ADM[[MÊS ]],X71,FOLHA_ADM[[ANO ]],Y71,FOLHA_ADM[DEPARTAMENTO],Z71)</f>
        <v>0</v>
      </c>
      <c r="AC71" s="2">
        <f>SUMIFS(FOLHA_ADM[TOTAL],FOLHA_ADM[EMPRESA],W71,FOLHA_ADM[[MÊS ]],X71,FOLHA_ADM[[ANO ]],Y71,FOLHA_ADM[DEPARTAMENTO],Z71)</f>
        <v>0</v>
      </c>
      <c r="AD71" s="3">
        <f t="shared" si="2"/>
        <v>0</v>
      </c>
    </row>
    <row r="72" spans="1:30" x14ac:dyDescent="0.3">
      <c r="A72" s="30" t="s">
        <v>0</v>
      </c>
      <c r="B72" s="30" t="s">
        <v>20</v>
      </c>
      <c r="C72" s="30" t="s">
        <v>273</v>
      </c>
      <c r="D72">
        <v>2025</v>
      </c>
      <c r="E72">
        <v>183</v>
      </c>
      <c r="F72" s="30" t="s">
        <v>31</v>
      </c>
      <c r="G72" s="30" t="s">
        <v>29</v>
      </c>
      <c r="H72" s="30" t="s">
        <v>30</v>
      </c>
      <c r="I72" s="2">
        <v>2590.13</v>
      </c>
      <c r="J72" s="2">
        <v>2568.69</v>
      </c>
      <c r="K72" s="2">
        <v>701.25239999999997</v>
      </c>
      <c r="L72" s="2">
        <v>205.49</v>
      </c>
      <c r="M72" s="2">
        <v>340</v>
      </c>
      <c r="Q72" s="2">
        <v>3836.8724000000002</v>
      </c>
      <c r="R72" s="2">
        <v>369.13</v>
      </c>
      <c r="S72" s="2">
        <v>1519761.37</v>
      </c>
      <c r="T72" s="1">
        <v>2.524654492303617E-3</v>
      </c>
      <c r="W72" s="16" t="s">
        <v>119</v>
      </c>
      <c r="X72" t="s">
        <v>273</v>
      </c>
      <c r="Y72" s="16">
        <v>2025</v>
      </c>
      <c r="Z72" s="31" t="s">
        <v>23</v>
      </c>
      <c r="AA72" s="2">
        <v>2559361.83</v>
      </c>
      <c r="AB72">
        <f>COUNTIFS(FOLHA_ADM[EMPRESA],W72,FOLHA_ADM[[MÊS ]],X72,FOLHA_ADM[[ANO ]],Y72,FOLHA_ADM[DEPARTAMENTO],Z72)</f>
        <v>5</v>
      </c>
      <c r="AC72" s="2">
        <f>SUMIFS(FOLHA_ADM[TOTAL],FOLHA_ADM[EMPRESA],W72,FOLHA_ADM[[MÊS ]],X72,FOLHA_ADM[[ANO ]],Y72,FOLHA_ADM[DEPARTAMENTO],Z72)</f>
        <v>28019.109999999997</v>
      </c>
      <c r="AD72" s="3">
        <f t="shared" si="2"/>
        <v>511872.36600000004</v>
      </c>
    </row>
    <row r="73" spans="1:30" x14ac:dyDescent="0.3">
      <c r="A73" s="30" t="s">
        <v>0</v>
      </c>
      <c r="B73" s="30" t="s">
        <v>20</v>
      </c>
      <c r="C73" s="30" t="s">
        <v>273</v>
      </c>
      <c r="D73">
        <v>2025</v>
      </c>
      <c r="E73">
        <v>210</v>
      </c>
      <c r="F73" s="30" t="s">
        <v>275</v>
      </c>
      <c r="G73" s="30" t="s">
        <v>29</v>
      </c>
      <c r="H73" s="30" t="s">
        <v>30</v>
      </c>
      <c r="I73" s="2">
        <v>602.86</v>
      </c>
      <c r="J73" s="2">
        <v>599</v>
      </c>
      <c r="K73" s="2">
        <v>163.52699999999999</v>
      </c>
      <c r="L73" s="2">
        <v>47.92</v>
      </c>
      <c r="P73" s="2">
        <v>306.8</v>
      </c>
      <c r="Q73" s="2">
        <v>1121.107</v>
      </c>
      <c r="R73" s="2">
        <v>10.59</v>
      </c>
      <c r="S73" s="2">
        <v>1519761.37</v>
      </c>
      <c r="T73" s="1">
        <v>7.3768620661808244E-4</v>
      </c>
      <c r="W73" s="16" t="s">
        <v>119</v>
      </c>
      <c r="X73" t="s">
        <v>273</v>
      </c>
      <c r="Y73" s="16">
        <v>2025</v>
      </c>
      <c r="Z73" s="31" t="s">
        <v>26</v>
      </c>
      <c r="AA73" s="2">
        <v>225900</v>
      </c>
      <c r="AB73">
        <f>COUNTIFS(FOLHA_ADM[EMPRESA],W73,FOLHA_ADM[[MÊS ]],X73,FOLHA_ADM[[ANO ]],Y73,FOLHA_ADM[DEPARTAMENTO],Z73)</f>
        <v>7</v>
      </c>
      <c r="AC73" s="2">
        <f>SUMIFS(FOLHA_ADM[TOTAL],FOLHA_ADM[EMPRESA],W73,FOLHA_ADM[[MÊS ]],X73,FOLHA_ADM[[ANO ]],Y73,FOLHA_ADM[DEPARTAMENTO],Z73)</f>
        <v>28155.730899999999</v>
      </c>
      <c r="AD73" s="3">
        <f t="shared" si="2"/>
        <v>32271.428571428572</v>
      </c>
    </row>
    <row r="74" spans="1:30" x14ac:dyDescent="0.3">
      <c r="A74" s="30" t="s">
        <v>0</v>
      </c>
      <c r="B74" s="30" t="s">
        <v>20</v>
      </c>
      <c r="C74" s="30" t="s">
        <v>273</v>
      </c>
      <c r="D74">
        <v>2025</v>
      </c>
      <c r="E74">
        <v>205</v>
      </c>
      <c r="F74" s="30" t="s">
        <v>258</v>
      </c>
      <c r="G74" s="30" t="s">
        <v>26</v>
      </c>
      <c r="H74" s="30" t="s">
        <v>60</v>
      </c>
      <c r="I74" s="2">
        <v>1307.72</v>
      </c>
      <c r="J74" s="2">
        <v>955.45</v>
      </c>
      <c r="K74" s="2">
        <v>260.83789999999999</v>
      </c>
      <c r="L74" s="2">
        <v>76.430000000000007</v>
      </c>
      <c r="M74" s="2">
        <v>336</v>
      </c>
      <c r="N74" s="2">
        <v>80</v>
      </c>
      <c r="Q74" s="2">
        <v>2060.9877999999999</v>
      </c>
      <c r="R74" s="2">
        <v>0</v>
      </c>
      <c r="S74" s="2">
        <v>1519761.37</v>
      </c>
      <c r="T74" s="1">
        <v>1.3561259620646891E-3</v>
      </c>
      <c r="W74" s="16" t="s">
        <v>119</v>
      </c>
      <c r="X74" t="s">
        <v>273</v>
      </c>
      <c r="Y74" s="16">
        <v>2025</v>
      </c>
      <c r="Z74" s="31" t="s">
        <v>29</v>
      </c>
      <c r="AA74" s="2">
        <v>2559361.83</v>
      </c>
      <c r="AB74">
        <f>COUNTIFS(FOLHA_ADM[EMPRESA],W74,FOLHA_ADM[[MÊS ]],X74,FOLHA_ADM[[ANO ]],Y74,FOLHA_ADM[DEPARTAMENTO],Z74)</f>
        <v>19</v>
      </c>
      <c r="AC74" s="2">
        <f>SUMIFS(FOLHA_ADM[TOTAL],FOLHA_ADM[EMPRESA],W74,FOLHA_ADM[[MÊS ]],X74,FOLHA_ADM[[ANO ]],Y74,FOLHA_ADM[DEPARTAMENTO],Z74)</f>
        <v>77950.774899999989</v>
      </c>
      <c r="AD74" s="3">
        <f t="shared" si="2"/>
        <v>134703.25421052633</v>
      </c>
    </row>
    <row r="75" spans="1:30" x14ac:dyDescent="0.3">
      <c r="A75" s="30" t="s">
        <v>0</v>
      </c>
      <c r="B75" s="30" t="s">
        <v>20</v>
      </c>
      <c r="C75" s="30" t="s">
        <v>273</v>
      </c>
      <c r="D75">
        <v>2025</v>
      </c>
      <c r="E75">
        <v>123</v>
      </c>
      <c r="F75" s="30" t="s">
        <v>35</v>
      </c>
      <c r="G75" s="30" t="s">
        <v>29</v>
      </c>
      <c r="H75" s="30" t="s">
        <v>30</v>
      </c>
      <c r="I75" s="2">
        <v>2570.92</v>
      </c>
      <c r="J75" s="2">
        <v>0</v>
      </c>
      <c r="K75" s="2">
        <v>0</v>
      </c>
      <c r="L75" s="2">
        <v>0</v>
      </c>
      <c r="Q75" s="2">
        <v>2570.92</v>
      </c>
      <c r="R75" s="2">
        <v>0</v>
      </c>
      <c r="S75" s="2">
        <v>1519761.37</v>
      </c>
      <c r="T75" s="1">
        <v>1.6916603163824333E-3</v>
      </c>
      <c r="W75" s="16" t="s">
        <v>119</v>
      </c>
      <c r="X75" t="s">
        <v>273</v>
      </c>
      <c r="Y75" s="16">
        <v>2025</v>
      </c>
      <c r="Z75" s="31" t="s">
        <v>33</v>
      </c>
      <c r="AA75" s="2">
        <v>1551773.91</v>
      </c>
      <c r="AB75">
        <f>COUNTIFS(FOLHA_ADM[EMPRESA],W75,FOLHA_ADM[[MÊS ]],X75,FOLHA_ADM[[ANO ]],Y75,FOLHA_ADM[DEPARTAMENTO],Z75)</f>
        <v>19</v>
      </c>
      <c r="AC75" s="2">
        <f>SUMIFS(FOLHA_ADM[TOTAL],FOLHA_ADM[EMPRESA],W75,FOLHA_ADM[[MÊS ]],X75,FOLHA_ADM[[ANO ]],Y75,FOLHA_ADM[DEPARTAMENTO],Z75)</f>
        <v>72297.546100000007</v>
      </c>
      <c r="AD75" s="3">
        <f t="shared" si="2"/>
        <v>81672.311052631572</v>
      </c>
    </row>
    <row r="76" spans="1:30" x14ac:dyDescent="0.3">
      <c r="A76" s="30" t="s">
        <v>0</v>
      </c>
      <c r="B76" s="30" t="s">
        <v>20</v>
      </c>
      <c r="C76" s="30" t="s">
        <v>273</v>
      </c>
      <c r="D76">
        <v>2025</v>
      </c>
      <c r="E76">
        <v>16</v>
      </c>
      <c r="F76" s="30" t="s">
        <v>36</v>
      </c>
      <c r="G76" s="30" t="s">
        <v>26</v>
      </c>
      <c r="H76" s="30" t="s">
        <v>37</v>
      </c>
      <c r="I76" s="2">
        <v>2824.08</v>
      </c>
      <c r="J76" s="2">
        <v>2824.08</v>
      </c>
      <c r="K76" s="2">
        <v>770.97379999999998</v>
      </c>
      <c r="L76" s="2">
        <v>225.92</v>
      </c>
      <c r="M76" s="2">
        <v>336</v>
      </c>
      <c r="N76" s="2">
        <v>80</v>
      </c>
      <c r="Q76" s="2">
        <v>4236.9737999999998</v>
      </c>
      <c r="R76" s="2">
        <v>502.78</v>
      </c>
      <c r="S76" s="2">
        <v>1519761.37</v>
      </c>
      <c r="T76" s="1">
        <v>2.7879204746466212E-3</v>
      </c>
      <c r="W76" s="16" t="s">
        <v>119</v>
      </c>
      <c r="X76" t="s">
        <v>273</v>
      </c>
      <c r="Y76" s="16">
        <v>2025</v>
      </c>
      <c r="Z76" s="31" t="s">
        <v>39</v>
      </c>
      <c r="AA76" s="2">
        <v>435002.38</v>
      </c>
      <c r="AB76">
        <f>COUNTIFS(FOLHA_ADM[EMPRESA],W76,FOLHA_ADM[[MÊS ]],X76,FOLHA_ADM[[ANO ]],Y76,FOLHA_ADM[DEPARTAMENTO],Z76)</f>
        <v>8</v>
      </c>
      <c r="AC76" s="2">
        <f>SUMIFS(FOLHA_ADM[TOTAL],FOLHA_ADM[EMPRESA],W76,FOLHA_ADM[[MÊS ]],X76,FOLHA_ADM[[ANO ]],Y76,FOLHA_ADM[DEPARTAMENTO],Z76)</f>
        <v>32400.929799999998</v>
      </c>
      <c r="AD76" s="3">
        <f t="shared" si="2"/>
        <v>54375.297500000001</v>
      </c>
    </row>
    <row r="77" spans="1:30" x14ac:dyDescent="0.3">
      <c r="A77" s="30" t="s">
        <v>0</v>
      </c>
      <c r="B77" s="30" t="s">
        <v>20</v>
      </c>
      <c r="C77" s="30" t="s">
        <v>273</v>
      </c>
      <c r="D77">
        <v>2025</v>
      </c>
      <c r="E77">
        <v>195</v>
      </c>
      <c r="F77" s="30" t="s">
        <v>40</v>
      </c>
      <c r="G77" s="30" t="s">
        <v>29</v>
      </c>
      <c r="H77" s="30" t="s">
        <v>30</v>
      </c>
      <c r="I77" s="2">
        <v>2397.14</v>
      </c>
      <c r="J77" s="2">
        <v>0</v>
      </c>
      <c r="K77" s="2">
        <v>0</v>
      </c>
      <c r="L77" s="2">
        <v>0</v>
      </c>
      <c r="Q77" s="2">
        <v>2397.14</v>
      </c>
      <c r="R77" s="2">
        <v>0</v>
      </c>
      <c r="S77" s="2">
        <v>1519761.37</v>
      </c>
      <c r="T77" s="1">
        <v>1.5773134173031386E-3</v>
      </c>
      <c r="W77" s="16" t="s">
        <v>119</v>
      </c>
      <c r="X77" t="s">
        <v>273</v>
      </c>
      <c r="Y77" s="16">
        <v>2025</v>
      </c>
      <c r="Z77" s="31" t="s">
        <v>42</v>
      </c>
      <c r="AA77" s="2">
        <v>2559361.83</v>
      </c>
      <c r="AB77">
        <f>COUNTIFS(FOLHA_ADM[EMPRESA],W77,FOLHA_ADM[[MÊS ]],X77,FOLHA_ADM[[ANO ]],Y77,FOLHA_ADM[DEPARTAMENTO],Z77)</f>
        <v>1</v>
      </c>
      <c r="AC77" s="2">
        <f>SUMIFS(FOLHA_ADM[TOTAL],FOLHA_ADM[EMPRESA],W77,FOLHA_ADM[[MÊS ]],X77,FOLHA_ADM[[ANO ]],Y77,FOLHA_ADM[DEPARTAMENTO],Z77)</f>
        <v>3751.05</v>
      </c>
      <c r="AD77" s="3">
        <f t="shared" si="2"/>
        <v>2559361.83</v>
      </c>
    </row>
    <row r="78" spans="1:30" x14ac:dyDescent="0.3">
      <c r="A78" s="30" t="s">
        <v>0</v>
      </c>
      <c r="B78" s="30" t="s">
        <v>20</v>
      </c>
      <c r="C78" s="30" t="s">
        <v>273</v>
      </c>
      <c r="D78">
        <v>2025</v>
      </c>
      <c r="E78">
        <v>189</v>
      </c>
      <c r="F78" s="30" t="s">
        <v>44</v>
      </c>
      <c r="G78" s="30" t="s">
        <v>29</v>
      </c>
      <c r="H78" s="30" t="s">
        <v>30</v>
      </c>
      <c r="I78" s="2">
        <v>2403.65</v>
      </c>
      <c r="J78" s="2">
        <v>2133.1999999999998</v>
      </c>
      <c r="K78" s="2">
        <v>582.36360000000002</v>
      </c>
      <c r="L78" s="2">
        <v>0</v>
      </c>
      <c r="M78" s="2">
        <v>328</v>
      </c>
      <c r="Q78" s="2">
        <v>3314.0136000000002</v>
      </c>
      <c r="R78" s="2">
        <v>182.65</v>
      </c>
      <c r="S78" s="2">
        <v>1519761.37</v>
      </c>
      <c r="T78" s="1">
        <v>2.1806144473852495E-3</v>
      </c>
      <c r="W78" s="16" t="s">
        <v>119</v>
      </c>
      <c r="X78" t="s">
        <v>273</v>
      </c>
      <c r="Y78" s="16">
        <v>2025</v>
      </c>
      <c r="Z78" s="31" t="s">
        <v>76</v>
      </c>
      <c r="AA78" s="2">
        <v>2559361.83</v>
      </c>
      <c r="AB78">
        <f>COUNTIFS(FOLHA_ADM[EMPRESA],W78,FOLHA_ADM[[MÊS ]],X78,FOLHA_ADM[[ANO ]],Y78,FOLHA_ADM[DEPARTAMENTO],Z78)</f>
        <v>1</v>
      </c>
      <c r="AC78" s="2">
        <f>SUMIFS(FOLHA_ADM[TOTAL],FOLHA_ADM[EMPRESA],W78,FOLHA_ADM[[MÊS ]],X78,FOLHA_ADM[[ANO ]],Y78,FOLHA_ADM[DEPARTAMENTO],Z78)</f>
        <v>9788.8919999999998</v>
      </c>
      <c r="AD78" s="3">
        <f t="shared" si="2"/>
        <v>2559361.83</v>
      </c>
    </row>
    <row r="79" spans="1:30" x14ac:dyDescent="0.3">
      <c r="A79" s="30" t="s">
        <v>0</v>
      </c>
      <c r="B79" s="30" t="s">
        <v>20</v>
      </c>
      <c r="C79" s="30" t="s">
        <v>273</v>
      </c>
      <c r="D79">
        <v>2025</v>
      </c>
      <c r="E79">
        <v>147</v>
      </c>
      <c r="F79" s="30" t="s">
        <v>45</v>
      </c>
      <c r="G79" s="30" t="s">
        <v>29</v>
      </c>
      <c r="H79" s="30" t="s">
        <v>30</v>
      </c>
      <c r="I79" s="2">
        <v>2493.7800000000002</v>
      </c>
      <c r="J79" s="2">
        <v>2489.2399999999998</v>
      </c>
      <c r="K79" s="2">
        <v>679.5625</v>
      </c>
      <c r="L79" s="2">
        <v>199.13</v>
      </c>
      <c r="M79" s="2">
        <v>359</v>
      </c>
      <c r="N79" s="2">
        <v>80</v>
      </c>
      <c r="Q79" s="2">
        <v>3811.4724999999999</v>
      </c>
      <c r="R79" s="2">
        <v>272.77999999999997</v>
      </c>
      <c r="S79" s="2">
        <v>1519761.37</v>
      </c>
      <c r="T79" s="1">
        <v>2.5079414408329119E-3</v>
      </c>
      <c r="W79" s="16" t="s">
        <v>119</v>
      </c>
      <c r="X79" t="s">
        <v>273</v>
      </c>
      <c r="Y79" s="16">
        <v>2025</v>
      </c>
      <c r="Z79" s="31" t="s">
        <v>89</v>
      </c>
      <c r="AA79" s="2">
        <v>284912.68</v>
      </c>
      <c r="AB79">
        <f>COUNTIFS(FOLHA_ADM[EMPRESA],W79,FOLHA_ADM[[MÊS ]],X79,FOLHA_ADM[[ANO ]],Y79,FOLHA_ADM[DEPARTAMENTO],Z79)</f>
        <v>4</v>
      </c>
      <c r="AC79" s="2">
        <f>SUMIFS(FOLHA_ADM[TOTAL],FOLHA_ADM[EMPRESA],W79,FOLHA_ADM[[MÊS ]],X79,FOLHA_ADM[[ANO ]],Y79,FOLHA_ADM[DEPARTAMENTO],Z79)</f>
        <v>14430.603999999999</v>
      </c>
      <c r="AD79" s="3">
        <f t="shared" si="2"/>
        <v>71228.17</v>
      </c>
    </row>
    <row r="80" spans="1:30" x14ac:dyDescent="0.3">
      <c r="A80" s="30" t="s">
        <v>0</v>
      </c>
      <c r="B80" s="30" t="s">
        <v>20</v>
      </c>
      <c r="C80" s="30" t="s">
        <v>273</v>
      </c>
      <c r="D80">
        <v>2025</v>
      </c>
      <c r="E80">
        <v>204</v>
      </c>
      <c r="F80" s="30" t="s">
        <v>259</v>
      </c>
      <c r="G80" s="30" t="s">
        <v>26</v>
      </c>
      <c r="H80" s="30" t="s">
        <v>60</v>
      </c>
      <c r="I80" s="2">
        <v>2197.86</v>
      </c>
      <c r="J80" s="2">
        <v>2197.86</v>
      </c>
      <c r="K80" s="2">
        <v>600.01580000000001</v>
      </c>
      <c r="L80" s="2">
        <v>175.82</v>
      </c>
      <c r="M80" s="2">
        <v>336</v>
      </c>
      <c r="N80" s="2">
        <v>80</v>
      </c>
      <c r="Q80" s="2">
        <v>3389.6958</v>
      </c>
      <c r="R80" s="2">
        <v>222.86</v>
      </c>
      <c r="S80" s="2">
        <v>1519761.37</v>
      </c>
      <c r="T80" s="1">
        <v>2.23041317335234E-3</v>
      </c>
      <c r="W80" s="16" t="s">
        <v>119</v>
      </c>
      <c r="X80" t="s">
        <v>273</v>
      </c>
      <c r="Y80" s="16">
        <v>2025</v>
      </c>
      <c r="Z80" s="31" t="s">
        <v>125</v>
      </c>
      <c r="AA80" s="2">
        <v>115106.97</v>
      </c>
      <c r="AB80">
        <f>COUNTIFS(FOLHA_ADM[EMPRESA],W80,FOLHA_ADM[[MÊS ]],X80,FOLHA_ADM[[ANO ]],Y80,FOLHA_ADM[DEPARTAMENTO],Z80)</f>
        <v>8</v>
      </c>
      <c r="AC80" s="2">
        <f>SUMIFS(FOLHA_ADM[TOTAL],FOLHA_ADM[EMPRESA],W80,FOLHA_ADM[[MÊS ]],X80,FOLHA_ADM[[ANO ]],Y80,FOLHA_ADM[DEPARTAMENTO],Z80)</f>
        <v>24032.513799999997</v>
      </c>
      <c r="AD80" s="3">
        <f t="shared" si="2"/>
        <v>14388.37125</v>
      </c>
    </row>
    <row r="81" spans="1:30" x14ac:dyDescent="0.3">
      <c r="A81" s="30" t="s">
        <v>0</v>
      </c>
      <c r="B81" s="30" t="s">
        <v>20</v>
      </c>
      <c r="C81" s="30" t="s">
        <v>273</v>
      </c>
      <c r="D81">
        <v>2025</v>
      </c>
      <c r="E81">
        <v>194</v>
      </c>
      <c r="F81" s="30" t="s">
        <v>47</v>
      </c>
      <c r="G81" s="30" t="s">
        <v>29</v>
      </c>
      <c r="H81" s="30" t="s">
        <v>30</v>
      </c>
      <c r="I81" s="2">
        <v>2568.96</v>
      </c>
      <c r="J81" s="2">
        <v>2568.96</v>
      </c>
      <c r="K81" s="2">
        <v>701.3261</v>
      </c>
      <c r="L81" s="2">
        <v>205.51</v>
      </c>
      <c r="M81" s="2">
        <v>440</v>
      </c>
      <c r="N81" s="2">
        <v>80</v>
      </c>
      <c r="Q81" s="2">
        <v>3995.7961</v>
      </c>
      <c r="R81" s="2">
        <v>347.96</v>
      </c>
      <c r="S81" s="2">
        <v>1519761.37</v>
      </c>
      <c r="T81" s="1">
        <v>2.6292259817079044E-3</v>
      </c>
      <c r="W81" s="16" t="s">
        <v>119</v>
      </c>
      <c r="X81" t="s">
        <v>273</v>
      </c>
      <c r="Y81" s="16">
        <v>2025</v>
      </c>
      <c r="Z81" s="31" t="s">
        <v>217</v>
      </c>
      <c r="AA81" s="2">
        <v>2559361.83</v>
      </c>
      <c r="AB81">
        <f>COUNTIFS(FOLHA_ADM[EMPRESA],W81,FOLHA_ADM[[MÊS ]],X81,FOLHA_ADM[[ANO ]],Y81,FOLHA_ADM[DEPARTAMENTO],Z81)</f>
        <v>2</v>
      </c>
      <c r="AC81" s="2">
        <f>SUMIFS(FOLHA_ADM[TOTAL],FOLHA_ADM[EMPRESA],W81,FOLHA_ADM[[MÊS ]],X81,FOLHA_ADM[[ANO ]],Y81,FOLHA_ADM[DEPARTAMENTO],Z81)</f>
        <v>3578.0066999999999</v>
      </c>
      <c r="AD81" s="3">
        <f t="shared" si="2"/>
        <v>1279680.915</v>
      </c>
    </row>
    <row r="82" spans="1:30" x14ac:dyDescent="0.3">
      <c r="A82" s="30" t="s">
        <v>0</v>
      </c>
      <c r="B82" s="30" t="s">
        <v>20</v>
      </c>
      <c r="C82" s="30" t="s">
        <v>273</v>
      </c>
      <c r="D82">
        <v>2025</v>
      </c>
      <c r="E82">
        <v>187</v>
      </c>
      <c r="F82" s="30" t="s">
        <v>48</v>
      </c>
      <c r="G82" s="30" t="s">
        <v>33</v>
      </c>
      <c r="H82" s="30" t="s">
        <v>34</v>
      </c>
      <c r="I82" s="2">
        <v>2634.12</v>
      </c>
      <c r="J82" s="2">
        <v>2612.25</v>
      </c>
      <c r="K82" s="2">
        <v>713.14430000000004</v>
      </c>
      <c r="L82" s="2">
        <v>208.98</v>
      </c>
      <c r="M82" s="2">
        <v>657</v>
      </c>
      <c r="P82" s="2">
        <v>306.8</v>
      </c>
      <c r="Q82" s="2">
        <v>4520.0442000000003</v>
      </c>
      <c r="R82" s="2">
        <v>299.88</v>
      </c>
      <c r="S82" s="2">
        <v>1519761.37</v>
      </c>
      <c r="T82" s="1">
        <v>2.9741802491005543E-3</v>
      </c>
      <c r="W82" s="16" t="s">
        <v>72</v>
      </c>
      <c r="X82" t="s">
        <v>273</v>
      </c>
      <c r="Y82" s="16">
        <v>2025</v>
      </c>
      <c r="Z82" s="31" t="s">
        <v>23</v>
      </c>
      <c r="AA82" s="2">
        <v>1812293.64</v>
      </c>
      <c r="AB82">
        <f>COUNTIFS(FOLHA_ADM[EMPRESA],W82,FOLHA_ADM[[MÊS ]],X82,FOLHA_ADM[[ANO ]],Y82,FOLHA_ADM[DEPARTAMENTO],Z82)</f>
        <v>3</v>
      </c>
      <c r="AC82" s="2">
        <f>SUMIFS(FOLHA_ADM[TOTAL],FOLHA_ADM[EMPRESA],W82,FOLHA_ADM[[MÊS ]],X82,FOLHA_ADM[[ANO ]],Y82,FOLHA_ADM[DEPARTAMENTO],Z82)</f>
        <v>17527.620000000003</v>
      </c>
      <c r="AD82" s="3">
        <f t="shared" si="2"/>
        <v>604097.88</v>
      </c>
    </row>
    <row r="83" spans="1:30" x14ac:dyDescent="0.3">
      <c r="A83" s="30" t="s">
        <v>0</v>
      </c>
      <c r="B83" s="30" t="s">
        <v>20</v>
      </c>
      <c r="C83" s="30" t="s">
        <v>273</v>
      </c>
      <c r="D83">
        <v>2025</v>
      </c>
      <c r="E83">
        <v>182</v>
      </c>
      <c r="F83" s="30" t="s">
        <v>51</v>
      </c>
      <c r="G83" s="30" t="s">
        <v>29</v>
      </c>
      <c r="H83" s="30" t="s">
        <v>30</v>
      </c>
      <c r="I83" s="2">
        <v>2281.73</v>
      </c>
      <c r="J83" s="2">
        <v>0</v>
      </c>
      <c r="K83" s="2">
        <v>0</v>
      </c>
      <c r="L83" s="2">
        <v>182.53</v>
      </c>
      <c r="Q83" s="2">
        <v>2464.2600000000002</v>
      </c>
      <c r="R83" s="2">
        <v>0</v>
      </c>
      <c r="S83" s="2">
        <v>1519761.37</v>
      </c>
      <c r="T83" s="1">
        <v>1.6214782456274695E-3</v>
      </c>
      <c r="W83" s="16" t="s">
        <v>72</v>
      </c>
      <c r="X83" t="s">
        <v>273</v>
      </c>
      <c r="Y83" s="16">
        <v>2025</v>
      </c>
      <c r="Z83" s="31" t="s">
        <v>26</v>
      </c>
      <c r="AA83" s="2">
        <v>171733.14</v>
      </c>
      <c r="AB83">
        <f>COUNTIFS(FOLHA_ADM[EMPRESA],W83,FOLHA_ADM[[MÊS ]],X83,FOLHA_ADM[[ANO ]],Y83,FOLHA_ADM[DEPARTAMENTO],Z83)</f>
        <v>7</v>
      </c>
      <c r="AC83" s="2">
        <f>SUMIFS(FOLHA_ADM[TOTAL],FOLHA_ADM[EMPRESA],W83,FOLHA_ADM[[MÊS ]],X83,FOLHA_ADM[[ANO ]],Y83,FOLHA_ADM[DEPARTAMENTO],Z83)</f>
        <v>25011.283000000003</v>
      </c>
      <c r="AD83" s="3">
        <f t="shared" si="2"/>
        <v>24533.305714285718</v>
      </c>
    </row>
    <row r="84" spans="1:30" x14ac:dyDescent="0.3">
      <c r="A84" s="30" t="s">
        <v>0</v>
      </c>
      <c r="B84" s="30" t="s">
        <v>20</v>
      </c>
      <c r="C84" s="30" t="s">
        <v>273</v>
      </c>
      <c r="D84">
        <v>2025</v>
      </c>
      <c r="E84">
        <v>197</v>
      </c>
      <c r="F84" s="30" t="s">
        <v>52</v>
      </c>
      <c r="G84" s="30" t="s">
        <v>29</v>
      </c>
      <c r="H84" s="30" t="s">
        <v>30</v>
      </c>
      <c r="I84" s="2">
        <v>2667.98</v>
      </c>
      <c r="J84" s="2">
        <v>2667.98</v>
      </c>
      <c r="K84" s="2">
        <v>728.35850000000005</v>
      </c>
      <c r="L84" s="2">
        <v>213.43</v>
      </c>
      <c r="M84" s="2">
        <v>342</v>
      </c>
      <c r="N84" s="2">
        <v>80</v>
      </c>
      <c r="Q84" s="2">
        <v>4031.7685000000001</v>
      </c>
      <c r="R84" s="2">
        <v>446.98</v>
      </c>
      <c r="S84" s="2">
        <v>1519761.37</v>
      </c>
      <c r="T84" s="1">
        <v>2.6528957898173185E-3</v>
      </c>
      <c r="W84" s="16" t="s">
        <v>72</v>
      </c>
      <c r="X84" t="s">
        <v>273</v>
      </c>
      <c r="Y84" s="16">
        <v>2025</v>
      </c>
      <c r="Z84" s="31" t="s">
        <v>29</v>
      </c>
      <c r="AA84" s="2">
        <v>1812293.64</v>
      </c>
      <c r="AB84">
        <f>COUNTIFS(FOLHA_ADM[EMPRESA],W84,FOLHA_ADM[[MÊS ]],X84,FOLHA_ADM[[ANO ]],Y84,FOLHA_ADM[DEPARTAMENTO],Z84)</f>
        <v>15</v>
      </c>
      <c r="AC84" s="2">
        <f>SUMIFS(FOLHA_ADM[TOTAL],FOLHA_ADM[EMPRESA],W84,FOLHA_ADM[[MÊS ]],X84,FOLHA_ADM[[ANO ]],Y84,FOLHA_ADM[DEPARTAMENTO],Z84)</f>
        <v>56924.907900000006</v>
      </c>
      <c r="AD84" s="3">
        <f t="shared" si="2"/>
        <v>120819.57599999999</v>
      </c>
    </row>
    <row r="85" spans="1:30" x14ac:dyDescent="0.3">
      <c r="A85" s="30" t="s">
        <v>0</v>
      </c>
      <c r="B85" s="30" t="s">
        <v>20</v>
      </c>
      <c r="C85" s="30" t="s">
        <v>273</v>
      </c>
      <c r="D85">
        <v>2025</v>
      </c>
      <c r="E85">
        <v>155</v>
      </c>
      <c r="F85" s="30" t="s">
        <v>53</v>
      </c>
      <c r="G85" s="30" t="s">
        <v>29</v>
      </c>
      <c r="H85" s="30" t="s">
        <v>30</v>
      </c>
      <c r="I85" s="2">
        <v>2633.3</v>
      </c>
      <c r="J85" s="2">
        <v>2633.3</v>
      </c>
      <c r="K85" s="2">
        <v>718.89089999999999</v>
      </c>
      <c r="L85" s="2">
        <v>210.66</v>
      </c>
      <c r="M85" s="2">
        <v>342</v>
      </c>
      <c r="N85" s="2">
        <v>80</v>
      </c>
      <c r="Q85" s="2">
        <v>3984.8508999999999</v>
      </c>
      <c r="R85" s="2">
        <v>412.3</v>
      </c>
      <c r="S85" s="2">
        <v>1519761.37</v>
      </c>
      <c r="T85" s="1">
        <v>2.6220240747401023E-3</v>
      </c>
      <c r="W85" s="16" t="s">
        <v>72</v>
      </c>
      <c r="X85" t="s">
        <v>273</v>
      </c>
      <c r="Y85" s="16">
        <v>2025</v>
      </c>
      <c r="Z85" s="31" t="s">
        <v>33</v>
      </c>
      <c r="AA85" s="2">
        <v>1144496.05</v>
      </c>
      <c r="AB85">
        <f>COUNTIFS(FOLHA_ADM[EMPRESA],W85,FOLHA_ADM[[MÊS ]],X85,FOLHA_ADM[[ANO ]],Y85,FOLHA_ADM[DEPARTAMENTO],Z85)</f>
        <v>15</v>
      </c>
      <c r="AC85" s="2">
        <f>SUMIFS(FOLHA_ADM[TOTAL],FOLHA_ADM[EMPRESA],W85,FOLHA_ADM[[MÊS ]],X85,FOLHA_ADM[[ANO ]],Y85,FOLHA_ADM[DEPARTAMENTO],Z85)</f>
        <v>45054.5959</v>
      </c>
      <c r="AD85" s="3">
        <f t="shared" si="2"/>
        <v>76299.736666666664</v>
      </c>
    </row>
    <row r="86" spans="1:30" x14ac:dyDescent="0.3">
      <c r="A86" s="30" t="s">
        <v>0</v>
      </c>
      <c r="B86" s="30" t="s">
        <v>20</v>
      </c>
      <c r="C86" s="30" t="s">
        <v>273</v>
      </c>
      <c r="D86">
        <v>2025</v>
      </c>
      <c r="E86">
        <v>116</v>
      </c>
      <c r="F86" s="30" t="s">
        <v>54</v>
      </c>
      <c r="G86" s="30" t="s">
        <v>39</v>
      </c>
      <c r="H86" s="30" t="s">
        <v>55</v>
      </c>
      <c r="I86" s="2">
        <v>4705.7299999999996</v>
      </c>
      <c r="J86" s="2">
        <v>3191.2</v>
      </c>
      <c r="K86" s="2">
        <v>871.19759999999997</v>
      </c>
      <c r="L86" s="2">
        <v>255.29</v>
      </c>
      <c r="M86" s="2">
        <v>322</v>
      </c>
      <c r="Q86" s="2">
        <v>6154.2175999999999</v>
      </c>
      <c r="R86" s="2">
        <v>0</v>
      </c>
      <c r="S86" s="2">
        <v>1519761.37</v>
      </c>
      <c r="T86" s="1">
        <v>4.0494631074877233E-3</v>
      </c>
      <c r="W86" s="16" t="s">
        <v>72</v>
      </c>
      <c r="X86" t="s">
        <v>273</v>
      </c>
      <c r="Y86" s="16">
        <v>2025</v>
      </c>
      <c r="Z86" s="31" t="s">
        <v>39</v>
      </c>
      <c r="AA86" s="2">
        <v>260046.65</v>
      </c>
      <c r="AB86">
        <f>COUNTIFS(FOLHA_ADM[EMPRESA],W86,FOLHA_ADM[[MÊS ]],X86,FOLHA_ADM[[ANO ]],Y86,FOLHA_ADM[DEPARTAMENTO],Z86)</f>
        <v>6</v>
      </c>
      <c r="AC86" s="2">
        <f>SUMIFS(FOLHA_ADM[TOTAL],FOLHA_ADM[EMPRESA],W86,FOLHA_ADM[[MÊS ]],X86,FOLHA_ADM[[ANO ]],Y86,FOLHA_ADM[DEPARTAMENTO],Z86)</f>
        <v>26644.1443</v>
      </c>
      <c r="AD86" s="3">
        <f t="shared" si="2"/>
        <v>43341.10833333333</v>
      </c>
    </row>
    <row r="87" spans="1:30" x14ac:dyDescent="0.3">
      <c r="A87" s="30" t="s">
        <v>0</v>
      </c>
      <c r="B87" s="30" t="s">
        <v>20</v>
      </c>
      <c r="C87" s="30" t="s">
        <v>273</v>
      </c>
      <c r="D87">
        <v>2025</v>
      </c>
      <c r="E87">
        <v>203</v>
      </c>
      <c r="F87" s="30" t="s">
        <v>260</v>
      </c>
      <c r="G87" s="30" t="s">
        <v>29</v>
      </c>
      <c r="H87" s="30" t="s">
        <v>30</v>
      </c>
      <c r="I87" s="2">
        <v>2494.84</v>
      </c>
      <c r="J87" s="2">
        <v>2384.0500000000002</v>
      </c>
      <c r="K87" s="2">
        <v>650.84569999999997</v>
      </c>
      <c r="L87" s="2">
        <v>190.72</v>
      </c>
      <c r="M87" s="2">
        <v>350</v>
      </c>
      <c r="N87" s="2">
        <v>80</v>
      </c>
      <c r="Q87" s="2">
        <v>3766.4056999999998</v>
      </c>
      <c r="R87" s="2">
        <v>273.83999999999997</v>
      </c>
      <c r="S87" s="2">
        <v>1519761.37</v>
      </c>
      <c r="T87" s="1">
        <v>2.4782875287848644E-3</v>
      </c>
      <c r="W87" s="16" t="s">
        <v>72</v>
      </c>
      <c r="X87" t="s">
        <v>273</v>
      </c>
      <c r="Y87" s="16">
        <v>2025</v>
      </c>
      <c r="Z87" s="31" t="s">
        <v>42</v>
      </c>
      <c r="AA87" s="2">
        <v>1812293.64</v>
      </c>
      <c r="AB87">
        <f>COUNTIFS(FOLHA_ADM[EMPRESA],W87,FOLHA_ADM[[MÊS ]],X87,FOLHA_ADM[[ANO ]],Y87,FOLHA_ADM[DEPARTAMENTO],Z87)</f>
        <v>2</v>
      </c>
      <c r="AC87" s="2">
        <f>SUMIFS(FOLHA_ADM[TOTAL],FOLHA_ADM[EMPRESA],W87,FOLHA_ADM[[MÊS ]],X87,FOLHA_ADM[[ANO ]],Y87,FOLHA_ADM[DEPARTAMENTO],Z87)</f>
        <v>7712.9735000000001</v>
      </c>
      <c r="AD87" s="3">
        <f t="shared" si="2"/>
        <v>906146.82</v>
      </c>
    </row>
    <row r="88" spans="1:30" x14ac:dyDescent="0.3">
      <c r="A88" s="30" t="s">
        <v>0</v>
      </c>
      <c r="B88" s="30" t="s">
        <v>20</v>
      </c>
      <c r="C88" s="30" t="s">
        <v>273</v>
      </c>
      <c r="D88">
        <v>2025</v>
      </c>
      <c r="E88">
        <v>209</v>
      </c>
      <c r="F88" s="30" t="s">
        <v>276</v>
      </c>
      <c r="G88" s="30" t="s">
        <v>29</v>
      </c>
      <c r="H88" s="30" t="s">
        <v>30</v>
      </c>
      <c r="I88" s="2">
        <v>1294.8699999999999</v>
      </c>
      <c r="J88" s="2">
        <v>1294.8699999999999</v>
      </c>
      <c r="K88" s="2">
        <v>353.49950000000001</v>
      </c>
      <c r="L88" s="2">
        <v>103.58</v>
      </c>
      <c r="Q88" s="2">
        <v>1751.9494999999999</v>
      </c>
      <c r="R88" s="2">
        <v>258.39999999999998</v>
      </c>
      <c r="S88" s="2">
        <v>1519761.37</v>
      </c>
      <c r="T88" s="1">
        <v>1.1527793406145067E-3</v>
      </c>
      <c r="W88" s="16" t="s">
        <v>72</v>
      </c>
      <c r="X88" t="s">
        <v>273</v>
      </c>
      <c r="Y88" s="16">
        <v>2025</v>
      </c>
      <c r="Z88" s="31" t="s">
        <v>76</v>
      </c>
      <c r="AA88" s="2">
        <v>1812293.64</v>
      </c>
      <c r="AB88">
        <f>COUNTIFS(FOLHA_ADM[EMPRESA],W88,FOLHA_ADM[[MÊS ]],X88,FOLHA_ADM[[ANO ]],Y88,FOLHA_ADM[DEPARTAMENTO],Z88)</f>
        <v>1</v>
      </c>
      <c r="AC88" s="2">
        <f>SUMIFS(FOLHA_ADM[TOTAL],FOLHA_ADM[EMPRESA],W88,FOLHA_ADM[[MÊS ]],X88,FOLHA_ADM[[ANO ]],Y88,FOLHA_ADM[DEPARTAMENTO],Z88)</f>
        <v>9788.8919999999998</v>
      </c>
      <c r="AD88" s="3">
        <f t="shared" si="2"/>
        <v>1812293.64</v>
      </c>
    </row>
    <row r="89" spans="1:30" x14ac:dyDescent="0.3">
      <c r="A89" s="30" t="s">
        <v>0</v>
      </c>
      <c r="B89" s="30" t="s">
        <v>20</v>
      </c>
      <c r="C89" s="30" t="s">
        <v>273</v>
      </c>
      <c r="D89">
        <v>2025</v>
      </c>
      <c r="E89">
        <v>208</v>
      </c>
      <c r="F89" s="30" t="s">
        <v>277</v>
      </c>
      <c r="G89" s="30" t="s">
        <v>33</v>
      </c>
      <c r="H89" s="30" t="s">
        <v>50</v>
      </c>
      <c r="I89" s="2">
        <v>1128.8800000000001</v>
      </c>
      <c r="J89" s="2">
        <v>1123.22</v>
      </c>
      <c r="K89" s="2">
        <v>306.63909999999998</v>
      </c>
      <c r="L89" s="2">
        <v>89.85</v>
      </c>
      <c r="P89" s="2">
        <v>306.8</v>
      </c>
      <c r="Q89" s="2">
        <v>1832.1691000000001</v>
      </c>
      <c r="R89" s="2">
        <v>207.21</v>
      </c>
      <c r="S89" s="2">
        <v>1519761.37</v>
      </c>
      <c r="T89" s="1">
        <v>1.2055636471402086E-3</v>
      </c>
      <c r="W89" s="16" t="s">
        <v>72</v>
      </c>
      <c r="X89" t="s">
        <v>273</v>
      </c>
      <c r="Y89" s="16">
        <v>2025</v>
      </c>
      <c r="Z89" s="31" t="s">
        <v>89</v>
      </c>
      <c r="AA89" s="2">
        <v>196912.71</v>
      </c>
      <c r="AB89">
        <f>COUNTIFS(FOLHA_ADM[EMPRESA],W89,FOLHA_ADM[[MÊS ]],X89,FOLHA_ADM[[ANO ]],Y89,FOLHA_ADM[DEPARTAMENTO],Z89)</f>
        <v>3</v>
      </c>
      <c r="AC89" s="2">
        <f>SUMIFS(FOLHA_ADM[TOTAL],FOLHA_ADM[EMPRESA],W89,FOLHA_ADM[[MÊS ]],X89,FOLHA_ADM[[ANO ]],Y89,FOLHA_ADM[DEPARTAMENTO],Z89)</f>
        <v>11021.191999999999</v>
      </c>
      <c r="AD89" s="3">
        <f t="shared" si="2"/>
        <v>65637.569999999992</v>
      </c>
    </row>
    <row r="90" spans="1:30" x14ac:dyDescent="0.3">
      <c r="A90" s="30" t="s">
        <v>0</v>
      </c>
      <c r="B90" s="30" t="s">
        <v>20</v>
      </c>
      <c r="C90" s="30" t="s">
        <v>273</v>
      </c>
      <c r="D90">
        <v>2025</v>
      </c>
      <c r="E90">
        <v>192</v>
      </c>
      <c r="F90" s="30" t="s">
        <v>56</v>
      </c>
      <c r="G90" s="30" t="s">
        <v>39</v>
      </c>
      <c r="H90" s="30" t="s">
        <v>57</v>
      </c>
      <c r="I90" s="2">
        <v>3679.83</v>
      </c>
      <c r="J90" s="2">
        <v>1697.25</v>
      </c>
      <c r="K90" s="2">
        <v>463.34930000000003</v>
      </c>
      <c r="L90" s="2">
        <v>135.77000000000001</v>
      </c>
      <c r="M90" s="2">
        <v>336</v>
      </c>
      <c r="Q90" s="2">
        <v>4614.9492</v>
      </c>
      <c r="R90" s="2">
        <v>24.02</v>
      </c>
      <c r="S90" s="2">
        <v>1519761.37</v>
      </c>
      <c r="T90" s="1">
        <v>3.0366275529164159E-3</v>
      </c>
      <c r="W90" s="16" t="s">
        <v>72</v>
      </c>
      <c r="X90" t="s">
        <v>273</v>
      </c>
      <c r="Y90" s="16">
        <v>2025</v>
      </c>
      <c r="Z90" s="31" t="s">
        <v>125</v>
      </c>
      <c r="AA90" s="2">
        <v>0</v>
      </c>
      <c r="AB90">
        <f>COUNTIFS(FOLHA_ADM[EMPRESA],W90,FOLHA_ADM[[MÊS ]],X90,FOLHA_ADM[[ANO ]],Y90,FOLHA_ADM[DEPARTAMENTO],Z90)</f>
        <v>0</v>
      </c>
      <c r="AC90" s="2">
        <f>SUMIFS(FOLHA_ADM[TOTAL],FOLHA_ADM[EMPRESA],W90,FOLHA_ADM[[MÊS ]],X90,FOLHA_ADM[[ANO ]],Y90,FOLHA_ADM[DEPARTAMENTO],Z90)</f>
        <v>0</v>
      </c>
      <c r="AD90" s="3">
        <f t="shared" si="2"/>
        <v>0</v>
      </c>
    </row>
    <row r="91" spans="1:30" x14ac:dyDescent="0.3">
      <c r="A91" s="30" t="s">
        <v>0</v>
      </c>
      <c r="B91" s="30" t="s">
        <v>20</v>
      </c>
      <c r="C91" s="30" t="s">
        <v>273</v>
      </c>
      <c r="D91">
        <v>2025</v>
      </c>
      <c r="E91">
        <v>173</v>
      </c>
      <c r="F91" s="30" t="s">
        <v>58</v>
      </c>
      <c r="G91" s="30" t="s">
        <v>39</v>
      </c>
      <c r="H91" s="30" t="s">
        <v>27</v>
      </c>
      <c r="I91" s="2">
        <v>2078.21</v>
      </c>
      <c r="J91" s="2">
        <v>1948.32</v>
      </c>
      <c r="K91" s="2">
        <v>531.89139999999998</v>
      </c>
      <c r="L91" s="2">
        <v>155.86000000000001</v>
      </c>
      <c r="M91" s="2">
        <v>322</v>
      </c>
      <c r="Q91" s="2">
        <v>3087.9614000000001</v>
      </c>
      <c r="R91" s="2">
        <v>0</v>
      </c>
      <c r="S91" s="2">
        <v>1519761.37</v>
      </c>
      <c r="T91" s="1">
        <v>2.0318725169333656E-3</v>
      </c>
      <c r="W91" s="16" t="s">
        <v>72</v>
      </c>
      <c r="X91" t="s">
        <v>273</v>
      </c>
      <c r="Y91" s="16">
        <v>2025</v>
      </c>
      <c r="Z91" s="33" t="s">
        <v>217</v>
      </c>
      <c r="AA91" s="2">
        <v>1812293.64</v>
      </c>
      <c r="AB91" s="32">
        <f>COUNTIFS(FOLHA_ADM[EMPRESA],W91,FOLHA_ADM[[MÊS ]],X91,FOLHA_ADM[[ANO ]],Y91,FOLHA_ADM[DEPARTAMENTO],Z91)</f>
        <v>2</v>
      </c>
      <c r="AC91" s="20">
        <f>SUMIFS(FOLHA_ADM[TOTAL],FOLHA_ADM[EMPRESA],W91,FOLHA_ADM[[MÊS ]],X91,FOLHA_ADM[[ANO ]],Y91,FOLHA_ADM[DEPARTAMENTO],Z91)</f>
        <v>5766.7199999999993</v>
      </c>
      <c r="AD91" s="34">
        <f t="shared" si="2"/>
        <v>906146.82</v>
      </c>
    </row>
    <row r="92" spans="1:30" x14ac:dyDescent="0.3">
      <c r="A92" s="30" t="s">
        <v>0</v>
      </c>
      <c r="B92" s="30" t="s">
        <v>20</v>
      </c>
      <c r="C92" s="30" t="s">
        <v>273</v>
      </c>
      <c r="D92">
        <v>2025</v>
      </c>
      <c r="E92">
        <v>154</v>
      </c>
      <c r="F92" s="30" t="s">
        <v>59</v>
      </c>
      <c r="G92" s="30" t="s">
        <v>26</v>
      </c>
      <c r="H92" s="30" t="s">
        <v>60</v>
      </c>
      <c r="I92" s="2">
        <v>2251.0500000000002</v>
      </c>
      <c r="J92" s="2">
        <v>2251.0500000000002</v>
      </c>
      <c r="K92" s="2">
        <v>614.5367</v>
      </c>
      <c r="L92" s="2">
        <v>180.08</v>
      </c>
      <c r="M92" s="2">
        <v>322</v>
      </c>
      <c r="Q92" s="2">
        <v>3367.6667000000002</v>
      </c>
      <c r="R92" s="2">
        <v>276.05</v>
      </c>
      <c r="S92" s="2">
        <v>1519761.37</v>
      </c>
      <c r="T92" s="1">
        <v>2.2159180490289735E-3</v>
      </c>
    </row>
    <row r="93" spans="1:30" x14ac:dyDescent="0.3">
      <c r="A93" s="30" t="s">
        <v>0</v>
      </c>
      <c r="B93" s="30" t="s">
        <v>20</v>
      </c>
      <c r="C93" s="30" t="s">
        <v>273</v>
      </c>
      <c r="D93">
        <v>2025</v>
      </c>
      <c r="E93">
        <v>207</v>
      </c>
      <c r="F93" s="30" t="s">
        <v>278</v>
      </c>
      <c r="G93" s="30" t="s">
        <v>33</v>
      </c>
      <c r="H93" s="30" t="s">
        <v>50</v>
      </c>
      <c r="I93" s="2">
        <v>1333.11</v>
      </c>
      <c r="J93" s="2">
        <v>1323.86</v>
      </c>
      <c r="K93" s="2">
        <v>361.41379999999998</v>
      </c>
      <c r="L93" s="2">
        <v>105.9</v>
      </c>
      <c r="Q93" s="2">
        <v>1800.4238</v>
      </c>
      <c r="R93" s="2">
        <v>345.61</v>
      </c>
      <c r="S93" s="2">
        <v>1519761.37</v>
      </c>
      <c r="T93" s="1">
        <v>1.1846753151779346E-3</v>
      </c>
    </row>
    <row r="94" spans="1:30" x14ac:dyDescent="0.3">
      <c r="A94" s="30" t="s">
        <v>0</v>
      </c>
      <c r="B94" s="30" t="s">
        <v>20</v>
      </c>
      <c r="C94" s="30" t="s">
        <v>273</v>
      </c>
      <c r="D94">
        <v>2025</v>
      </c>
      <c r="E94">
        <v>196</v>
      </c>
      <c r="F94" s="30" t="s">
        <v>61</v>
      </c>
      <c r="G94" s="30" t="s">
        <v>33</v>
      </c>
      <c r="H94" s="30" t="s">
        <v>50</v>
      </c>
      <c r="I94" s="2">
        <v>2375.75</v>
      </c>
      <c r="J94" s="2">
        <v>2375.75</v>
      </c>
      <c r="K94" s="2">
        <v>648.57979999999998</v>
      </c>
      <c r="L94" s="2">
        <v>190.06</v>
      </c>
      <c r="M94" s="2">
        <v>336</v>
      </c>
      <c r="N94" s="2">
        <v>80</v>
      </c>
      <c r="Q94" s="2">
        <v>3630.3897999999999</v>
      </c>
      <c r="R94" s="2">
        <v>400.75</v>
      </c>
      <c r="S94" s="2">
        <v>1519761.37</v>
      </c>
      <c r="T94" s="1">
        <v>2.388789333420154E-3</v>
      </c>
    </row>
    <row r="95" spans="1:30" x14ac:dyDescent="0.3">
      <c r="A95" s="30" t="s">
        <v>0</v>
      </c>
      <c r="B95" s="30" t="s">
        <v>20</v>
      </c>
      <c r="C95" s="30" t="s">
        <v>273</v>
      </c>
      <c r="D95">
        <v>2025</v>
      </c>
      <c r="E95">
        <v>177</v>
      </c>
      <c r="F95" s="30" t="s">
        <v>62</v>
      </c>
      <c r="G95" s="30" t="s">
        <v>39</v>
      </c>
      <c r="H95" s="30" t="s">
        <v>60</v>
      </c>
      <c r="I95" s="2">
        <v>2133</v>
      </c>
      <c r="J95" s="2">
        <v>2089.0100000000002</v>
      </c>
      <c r="K95" s="2">
        <v>570.29970000000003</v>
      </c>
      <c r="L95" s="2">
        <v>167.12</v>
      </c>
      <c r="M95" s="2">
        <v>322</v>
      </c>
      <c r="Q95" s="2">
        <v>3192.4196999999999</v>
      </c>
      <c r="R95" s="2">
        <v>158</v>
      </c>
      <c r="S95" s="2">
        <v>1519761.37</v>
      </c>
      <c r="T95" s="1">
        <v>2.100605919467475E-3</v>
      </c>
    </row>
    <row r="96" spans="1:30" x14ac:dyDescent="0.3">
      <c r="A96" s="30" t="s">
        <v>0</v>
      </c>
      <c r="B96" s="30" t="s">
        <v>20</v>
      </c>
      <c r="C96" s="30" t="s">
        <v>273</v>
      </c>
      <c r="D96">
        <v>2025</v>
      </c>
      <c r="E96">
        <v>199</v>
      </c>
      <c r="F96" s="30" t="s">
        <v>63</v>
      </c>
      <c r="G96" s="30" t="s">
        <v>33</v>
      </c>
      <c r="H96" s="30" t="s">
        <v>64</v>
      </c>
      <c r="I96" s="2">
        <v>1164.78</v>
      </c>
      <c r="J96" s="2">
        <v>345.01</v>
      </c>
      <c r="K96" s="2">
        <v>94.187700000000007</v>
      </c>
      <c r="L96" s="2">
        <v>27.6</v>
      </c>
      <c r="Q96" s="2">
        <v>1286.5677000000001</v>
      </c>
      <c r="R96" s="2">
        <v>0</v>
      </c>
      <c r="S96" s="2">
        <v>1519761.37</v>
      </c>
      <c r="T96" s="1">
        <v>8.4655904235807764E-4</v>
      </c>
    </row>
    <row r="97" spans="1:20" x14ac:dyDescent="0.3">
      <c r="A97" s="30" t="s">
        <v>0</v>
      </c>
      <c r="B97" s="30" t="s">
        <v>20</v>
      </c>
      <c r="C97" s="30" t="s">
        <v>273</v>
      </c>
      <c r="D97">
        <v>2025</v>
      </c>
      <c r="E97">
        <v>2001</v>
      </c>
      <c r="F97" s="30" t="s">
        <v>65</v>
      </c>
      <c r="G97" s="30" t="s">
        <v>33</v>
      </c>
      <c r="H97" s="30" t="s">
        <v>64</v>
      </c>
      <c r="I97" s="2">
        <v>1006.7</v>
      </c>
      <c r="J97" s="2">
        <v>0</v>
      </c>
      <c r="K97" s="2">
        <v>0</v>
      </c>
      <c r="Q97" s="2">
        <v>1006.7</v>
      </c>
      <c r="R97" s="2">
        <v>0</v>
      </c>
      <c r="S97" s="2">
        <v>1519761.37</v>
      </c>
      <c r="T97" s="1">
        <v>6.6240662506114362E-4</v>
      </c>
    </row>
    <row r="98" spans="1:20" x14ac:dyDescent="0.3">
      <c r="A98" s="30" t="s">
        <v>0</v>
      </c>
      <c r="B98" s="30" t="s">
        <v>20</v>
      </c>
      <c r="C98" s="30" t="s">
        <v>273</v>
      </c>
      <c r="D98">
        <v>2025</v>
      </c>
      <c r="E98">
        <v>2003</v>
      </c>
      <c r="F98" s="30" t="s">
        <v>67</v>
      </c>
      <c r="G98" s="30" t="s">
        <v>33</v>
      </c>
      <c r="H98" s="30" t="s">
        <v>64</v>
      </c>
      <c r="I98" s="2">
        <v>971.27</v>
      </c>
      <c r="K98" s="2">
        <v>0</v>
      </c>
      <c r="N98" s="2">
        <v>80</v>
      </c>
      <c r="P98" s="2">
        <v>200</v>
      </c>
      <c r="Q98" s="2">
        <v>1251.27</v>
      </c>
      <c r="R98" s="2">
        <v>0</v>
      </c>
      <c r="S98" s="2">
        <v>1519761.37</v>
      </c>
      <c r="T98" s="1">
        <v>8.2333320526498176E-4</v>
      </c>
    </row>
    <row r="99" spans="1:20" x14ac:dyDescent="0.3">
      <c r="A99" s="30" t="s">
        <v>0</v>
      </c>
      <c r="B99" s="30" t="s">
        <v>20</v>
      </c>
      <c r="C99" s="30" t="s">
        <v>273</v>
      </c>
      <c r="D99">
        <v>2025</v>
      </c>
      <c r="E99">
        <v>2004</v>
      </c>
      <c r="F99" s="30" t="s">
        <v>68</v>
      </c>
      <c r="G99" s="30" t="s">
        <v>33</v>
      </c>
      <c r="H99" s="30" t="s">
        <v>64</v>
      </c>
      <c r="I99" s="2">
        <v>983.5</v>
      </c>
      <c r="J99" s="2">
        <v>0</v>
      </c>
      <c r="K99" s="2">
        <v>0</v>
      </c>
      <c r="N99" s="2">
        <v>80</v>
      </c>
      <c r="P99" s="2">
        <v>306.8</v>
      </c>
      <c r="Q99" s="2">
        <v>1370.3</v>
      </c>
      <c r="R99" s="2">
        <v>0</v>
      </c>
      <c r="S99" s="2">
        <v>1519761.37</v>
      </c>
      <c r="T99" s="1">
        <v>9.0165471175254308E-4</v>
      </c>
    </row>
    <row r="100" spans="1:20" x14ac:dyDescent="0.3">
      <c r="A100" s="30" t="s">
        <v>0</v>
      </c>
      <c r="B100" s="30" t="s">
        <v>20</v>
      </c>
      <c r="C100" s="30" t="s">
        <v>273</v>
      </c>
      <c r="D100">
        <v>2025</v>
      </c>
      <c r="E100">
        <v>201</v>
      </c>
      <c r="F100" s="30" t="s">
        <v>69</v>
      </c>
      <c r="G100" s="30" t="s">
        <v>39</v>
      </c>
      <c r="H100" s="30" t="s">
        <v>57</v>
      </c>
      <c r="I100" s="2">
        <v>2979.4</v>
      </c>
      <c r="J100" s="2">
        <v>2885.47</v>
      </c>
      <c r="K100" s="2">
        <v>787.73329999999999</v>
      </c>
      <c r="L100" s="2">
        <v>230.83</v>
      </c>
      <c r="M100" s="2">
        <v>643</v>
      </c>
      <c r="Q100" s="2">
        <v>4640.9633000000003</v>
      </c>
      <c r="R100" s="2">
        <v>553.9</v>
      </c>
      <c r="S100" s="2">
        <v>1519761.37</v>
      </c>
      <c r="T100" s="1">
        <v>3.0537447533621675E-3</v>
      </c>
    </row>
    <row r="101" spans="1:20" x14ac:dyDescent="0.3">
      <c r="A101" s="30" t="s">
        <v>0</v>
      </c>
      <c r="B101" s="30" t="s">
        <v>20</v>
      </c>
      <c r="C101" s="30" t="s">
        <v>273</v>
      </c>
      <c r="D101">
        <v>2025</v>
      </c>
      <c r="E101">
        <v>200</v>
      </c>
      <c r="F101" s="30" t="s">
        <v>70</v>
      </c>
      <c r="G101" s="30" t="s">
        <v>29</v>
      </c>
      <c r="H101" s="30" t="s">
        <v>30</v>
      </c>
      <c r="I101" s="2">
        <v>2434.09</v>
      </c>
      <c r="J101" s="2">
        <v>2231.58</v>
      </c>
      <c r="K101" s="2">
        <v>609.22130000000004</v>
      </c>
      <c r="L101" s="2">
        <v>178.52</v>
      </c>
      <c r="M101" s="2">
        <v>352</v>
      </c>
      <c r="Q101" s="2">
        <v>3573.8312999999998</v>
      </c>
      <c r="R101" s="2">
        <v>213.09</v>
      </c>
      <c r="S101" s="2">
        <v>1519761.37</v>
      </c>
      <c r="T101" s="1">
        <v>2.3515740105961502E-3</v>
      </c>
    </row>
    <row r="102" spans="1:20" x14ac:dyDescent="0.3">
      <c r="A102" s="30" t="s">
        <v>0</v>
      </c>
      <c r="B102" s="30" t="s">
        <v>20</v>
      </c>
      <c r="C102" s="30" t="s">
        <v>273</v>
      </c>
      <c r="D102">
        <v>2025</v>
      </c>
      <c r="E102">
        <v>25</v>
      </c>
      <c r="F102" s="30" t="s">
        <v>38</v>
      </c>
      <c r="G102" s="30" t="s">
        <v>39</v>
      </c>
      <c r="H102" s="30" t="s">
        <v>37</v>
      </c>
      <c r="I102" s="2">
        <v>2652.05</v>
      </c>
      <c r="M102" s="2">
        <v>400</v>
      </c>
      <c r="N102" s="2">
        <v>80</v>
      </c>
      <c r="Q102" s="2">
        <v>3132.05</v>
      </c>
      <c r="R102" s="2">
        <v>0</v>
      </c>
      <c r="S102" s="2">
        <v>1519761.37</v>
      </c>
      <c r="T102" s="1">
        <v>2.0608827555604996E-3</v>
      </c>
    </row>
    <row r="103" spans="1:20" x14ac:dyDescent="0.3">
      <c r="A103" s="30" t="s">
        <v>71</v>
      </c>
      <c r="B103" s="30" t="s">
        <v>72</v>
      </c>
      <c r="C103" s="30" t="s">
        <v>21</v>
      </c>
      <c r="D103">
        <v>2025</v>
      </c>
      <c r="E103">
        <v>151</v>
      </c>
      <c r="F103" s="30" t="s">
        <v>73</v>
      </c>
      <c r="G103" s="30" t="s">
        <v>33</v>
      </c>
      <c r="H103" s="30" t="s">
        <v>34</v>
      </c>
      <c r="I103" s="2">
        <v>2212.33</v>
      </c>
      <c r="J103" s="2">
        <v>2047.34</v>
      </c>
      <c r="K103" s="2">
        <v>558.92380000000003</v>
      </c>
      <c r="L103" s="2">
        <v>163.78</v>
      </c>
      <c r="M103" s="2">
        <v>308</v>
      </c>
      <c r="N103" s="2">
        <v>0</v>
      </c>
      <c r="O103" s="2">
        <v>0</v>
      </c>
      <c r="P103" s="2">
        <v>53.9</v>
      </c>
      <c r="Q103" s="2">
        <v>3296.9337999999998</v>
      </c>
      <c r="R103" s="2">
        <v>21.16</v>
      </c>
      <c r="S103" s="2">
        <v>1657043.9</v>
      </c>
      <c r="T103" s="1">
        <v>1.9896478421603677E-3</v>
      </c>
    </row>
    <row r="104" spans="1:20" x14ac:dyDescent="0.3">
      <c r="A104" s="30" t="s">
        <v>71</v>
      </c>
      <c r="B104" s="30" t="s">
        <v>72</v>
      </c>
      <c r="C104" s="30" t="s">
        <v>21</v>
      </c>
      <c r="D104">
        <v>2025</v>
      </c>
      <c r="E104">
        <v>170</v>
      </c>
      <c r="F104" s="30" t="s">
        <v>74</v>
      </c>
      <c r="G104" s="30" t="s">
        <v>39</v>
      </c>
      <c r="H104" s="30" t="s">
        <v>60</v>
      </c>
      <c r="I104" s="2">
        <v>2088.19</v>
      </c>
      <c r="J104" s="2">
        <v>2088.19</v>
      </c>
      <c r="K104" s="2">
        <v>570.07590000000005</v>
      </c>
      <c r="L104" s="2">
        <v>167.05</v>
      </c>
      <c r="M104" s="2">
        <v>322</v>
      </c>
      <c r="N104" s="2">
        <v>80</v>
      </c>
      <c r="O104" s="2">
        <v>0</v>
      </c>
      <c r="P104" s="2">
        <v>0</v>
      </c>
      <c r="Q104" s="2">
        <v>3227.3159000000001</v>
      </c>
      <c r="R104" s="2">
        <v>4.1900000000000004</v>
      </c>
      <c r="S104" s="2">
        <v>1657043.9</v>
      </c>
      <c r="T104" s="1">
        <v>1.9476345014154423E-3</v>
      </c>
    </row>
    <row r="105" spans="1:20" x14ac:dyDescent="0.3">
      <c r="A105" s="30" t="s">
        <v>71</v>
      </c>
      <c r="B105" s="30" t="s">
        <v>72</v>
      </c>
      <c r="C105" s="30" t="s">
        <v>21</v>
      </c>
      <c r="D105">
        <v>2025</v>
      </c>
      <c r="E105">
        <v>47</v>
      </c>
      <c r="F105" s="30" t="s">
        <v>75</v>
      </c>
      <c r="G105" s="30" t="s">
        <v>76</v>
      </c>
      <c r="H105" s="30" t="s">
        <v>76</v>
      </c>
      <c r="I105" s="2">
        <v>8157.41</v>
      </c>
      <c r="J105" s="2">
        <v>8157.41</v>
      </c>
      <c r="K105" s="2">
        <v>1631.482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9788.8919999999998</v>
      </c>
      <c r="R105" s="2">
        <v>0</v>
      </c>
      <c r="S105" s="2">
        <v>1657043.9</v>
      </c>
      <c r="T105" s="1">
        <v>5.9074427660003462E-3</v>
      </c>
    </row>
    <row r="106" spans="1:20" x14ac:dyDescent="0.3">
      <c r="A106" s="30" t="s">
        <v>71</v>
      </c>
      <c r="B106" s="30" t="s">
        <v>72</v>
      </c>
      <c r="C106" s="30" t="s">
        <v>21</v>
      </c>
      <c r="D106">
        <v>2025</v>
      </c>
      <c r="E106">
        <v>229</v>
      </c>
      <c r="F106" s="30" t="s">
        <v>77</v>
      </c>
      <c r="G106" s="30" t="s">
        <v>33</v>
      </c>
      <c r="H106" s="30" t="s">
        <v>50</v>
      </c>
      <c r="I106" s="2">
        <v>2081.59</v>
      </c>
      <c r="J106" s="2">
        <v>2004.12</v>
      </c>
      <c r="K106" s="2">
        <v>547.12480000000005</v>
      </c>
      <c r="L106" s="2">
        <v>160.32</v>
      </c>
      <c r="M106" s="2">
        <v>322</v>
      </c>
      <c r="N106" s="2">
        <v>0</v>
      </c>
      <c r="O106" s="2">
        <v>0</v>
      </c>
      <c r="P106" s="2">
        <v>0</v>
      </c>
      <c r="Q106" s="2">
        <v>3111.0347999999999</v>
      </c>
      <c r="R106" s="2">
        <v>3.85</v>
      </c>
      <c r="S106" s="2">
        <v>1657043.9</v>
      </c>
      <c r="T106" s="1">
        <v>1.87746067560431E-3</v>
      </c>
    </row>
    <row r="107" spans="1:20" x14ac:dyDescent="0.3">
      <c r="A107" s="30" t="s">
        <v>71</v>
      </c>
      <c r="B107" s="30" t="s">
        <v>72</v>
      </c>
      <c r="C107" s="30" t="s">
        <v>21</v>
      </c>
      <c r="D107">
        <v>2025</v>
      </c>
      <c r="E107">
        <v>231</v>
      </c>
      <c r="F107" s="30" t="s">
        <v>78</v>
      </c>
      <c r="G107" s="30" t="s">
        <v>26</v>
      </c>
      <c r="H107" s="30" t="s">
        <v>60</v>
      </c>
      <c r="I107" s="2">
        <v>2127.86</v>
      </c>
      <c r="J107" s="2">
        <v>2127.86</v>
      </c>
      <c r="K107" s="2">
        <v>580.9058</v>
      </c>
      <c r="L107" s="2">
        <v>170.22</v>
      </c>
      <c r="M107" s="2">
        <v>308</v>
      </c>
      <c r="N107" s="2">
        <v>80</v>
      </c>
      <c r="O107" s="2">
        <v>0</v>
      </c>
      <c r="P107" s="2">
        <v>306.8</v>
      </c>
      <c r="Q107" s="2">
        <v>3573.7858000000001</v>
      </c>
      <c r="R107" s="2">
        <v>59.49</v>
      </c>
      <c r="S107" s="2">
        <v>1657043.9</v>
      </c>
      <c r="T107" s="1">
        <v>2.1567236571101104E-3</v>
      </c>
    </row>
    <row r="108" spans="1:20" x14ac:dyDescent="0.3">
      <c r="A108" s="30" t="s">
        <v>71</v>
      </c>
      <c r="B108" s="30" t="s">
        <v>72</v>
      </c>
      <c r="C108" s="30" t="s">
        <v>21</v>
      </c>
      <c r="D108">
        <v>2025</v>
      </c>
      <c r="E108">
        <v>244</v>
      </c>
      <c r="F108" s="30" t="s">
        <v>79</v>
      </c>
      <c r="G108" s="30" t="s">
        <v>29</v>
      </c>
      <c r="H108" s="30" t="s">
        <v>30</v>
      </c>
      <c r="I108" s="2">
        <v>2227.85</v>
      </c>
      <c r="J108" s="2">
        <v>1798.21</v>
      </c>
      <c r="K108" s="2">
        <v>490.91129999999998</v>
      </c>
      <c r="L108" s="2">
        <v>143.85</v>
      </c>
      <c r="M108" s="2">
        <v>308</v>
      </c>
      <c r="N108" s="2">
        <v>0</v>
      </c>
      <c r="O108" s="2">
        <v>0</v>
      </c>
      <c r="P108" s="2">
        <v>306.8</v>
      </c>
      <c r="Q108" s="2">
        <v>3477.4113000000002</v>
      </c>
      <c r="R108" s="2">
        <v>6.85</v>
      </c>
      <c r="S108" s="2">
        <v>1657043.9</v>
      </c>
      <c r="T108" s="1">
        <v>2.0985631883379797E-3</v>
      </c>
    </row>
    <row r="109" spans="1:20" x14ac:dyDescent="0.3">
      <c r="A109" s="30" t="s">
        <v>71</v>
      </c>
      <c r="B109" s="30" t="s">
        <v>72</v>
      </c>
      <c r="C109" s="30" t="s">
        <v>21</v>
      </c>
      <c r="D109">
        <v>2025</v>
      </c>
      <c r="E109">
        <v>12</v>
      </c>
      <c r="F109" s="30" t="s">
        <v>80</v>
      </c>
      <c r="G109" s="30" t="s">
        <v>26</v>
      </c>
      <c r="H109" s="30" t="s">
        <v>37</v>
      </c>
      <c r="I109" s="2">
        <v>2832.66</v>
      </c>
      <c r="J109" s="2">
        <v>2832.66</v>
      </c>
      <c r="K109" s="2">
        <v>773.31619999999998</v>
      </c>
      <c r="L109" s="2">
        <v>226.61</v>
      </c>
      <c r="M109" s="2">
        <v>168</v>
      </c>
      <c r="N109" s="2">
        <v>0</v>
      </c>
      <c r="O109" s="2">
        <v>122.84</v>
      </c>
      <c r="P109" s="2">
        <v>306.8</v>
      </c>
      <c r="Q109" s="2">
        <v>4430.2262000000001</v>
      </c>
      <c r="R109" s="2">
        <v>355.9</v>
      </c>
      <c r="S109" s="2">
        <v>1657043.9</v>
      </c>
      <c r="T109" s="1">
        <v>2.6735720037350851E-3</v>
      </c>
    </row>
    <row r="110" spans="1:20" x14ac:dyDescent="0.3">
      <c r="A110" s="30" t="s">
        <v>71</v>
      </c>
      <c r="B110" s="30" t="s">
        <v>72</v>
      </c>
      <c r="C110" s="30" t="s">
        <v>21</v>
      </c>
      <c r="D110">
        <v>2025</v>
      </c>
      <c r="E110">
        <v>13</v>
      </c>
      <c r="F110" s="30" t="s">
        <v>81</v>
      </c>
      <c r="G110" s="30" t="s">
        <v>42</v>
      </c>
      <c r="H110" s="30" t="s">
        <v>43</v>
      </c>
      <c r="I110" s="2">
        <v>2687.76</v>
      </c>
      <c r="J110" s="2">
        <v>2687.76</v>
      </c>
      <c r="K110" s="2">
        <v>733.75850000000003</v>
      </c>
      <c r="L110" s="2">
        <v>215.02</v>
      </c>
      <c r="M110" s="2">
        <v>336</v>
      </c>
      <c r="N110" s="2">
        <v>0</v>
      </c>
      <c r="O110" s="2">
        <v>122.84</v>
      </c>
      <c r="P110" s="2">
        <v>0</v>
      </c>
      <c r="Q110" s="2">
        <v>4095.3784999999998</v>
      </c>
      <c r="R110" s="2">
        <v>45.57</v>
      </c>
      <c r="S110" s="2">
        <v>1657043.9</v>
      </c>
      <c r="T110" s="1">
        <v>2.4714966694605986E-3</v>
      </c>
    </row>
    <row r="111" spans="1:20" x14ac:dyDescent="0.3">
      <c r="A111" s="30" t="s">
        <v>71</v>
      </c>
      <c r="B111" s="30" t="s">
        <v>72</v>
      </c>
      <c r="C111" s="30" t="s">
        <v>21</v>
      </c>
      <c r="D111">
        <v>2025</v>
      </c>
      <c r="E111">
        <v>238</v>
      </c>
      <c r="F111" s="30" t="s">
        <v>82</v>
      </c>
      <c r="G111" s="30" t="s">
        <v>29</v>
      </c>
      <c r="H111" s="30" t="s">
        <v>30</v>
      </c>
      <c r="I111" s="2">
        <v>2348.5</v>
      </c>
      <c r="J111" s="2">
        <v>2348.5</v>
      </c>
      <c r="K111" s="2">
        <v>641.14049999999997</v>
      </c>
      <c r="L111" s="2">
        <v>187.88</v>
      </c>
      <c r="M111" s="2">
        <v>294</v>
      </c>
      <c r="N111" s="2">
        <v>0</v>
      </c>
      <c r="O111" s="2">
        <v>0</v>
      </c>
      <c r="P111" s="2">
        <v>306.8</v>
      </c>
      <c r="Q111" s="2">
        <v>3778.3204999999998</v>
      </c>
      <c r="R111" s="2">
        <v>120.81</v>
      </c>
      <c r="S111" s="2">
        <v>1657043.9</v>
      </c>
      <c r="T111" s="1">
        <v>2.2801571521430422E-3</v>
      </c>
    </row>
    <row r="112" spans="1:20" x14ac:dyDescent="0.3">
      <c r="A112" s="30" t="s">
        <v>71</v>
      </c>
      <c r="B112" s="30" t="s">
        <v>72</v>
      </c>
      <c r="C112" s="30" t="s">
        <v>21</v>
      </c>
      <c r="D112">
        <v>2025</v>
      </c>
      <c r="E112">
        <v>223</v>
      </c>
      <c r="F112" s="30" t="s">
        <v>83</v>
      </c>
      <c r="G112" s="30" t="s">
        <v>42</v>
      </c>
      <c r="H112" s="30" t="s">
        <v>84</v>
      </c>
      <c r="I112" s="2">
        <v>2157.23</v>
      </c>
      <c r="J112" s="2">
        <v>2142.87</v>
      </c>
      <c r="K112" s="2">
        <v>585.00350000000003</v>
      </c>
      <c r="L112" s="2">
        <v>171.42</v>
      </c>
      <c r="M112" s="2">
        <v>336</v>
      </c>
      <c r="N112" s="2">
        <v>0</v>
      </c>
      <c r="O112" s="2">
        <v>122.84</v>
      </c>
      <c r="P112" s="2">
        <v>0</v>
      </c>
      <c r="Q112" s="2">
        <v>3372.4935</v>
      </c>
      <c r="R112" s="2">
        <v>87.14</v>
      </c>
      <c r="S112" s="2">
        <v>1657043.9</v>
      </c>
      <c r="T112" s="1">
        <v>2.0352469297886442E-3</v>
      </c>
    </row>
    <row r="113" spans="1:20" x14ac:dyDescent="0.3">
      <c r="A113" s="30" t="s">
        <v>71</v>
      </c>
      <c r="B113" s="30" t="s">
        <v>72</v>
      </c>
      <c r="C113" s="30" t="s">
        <v>21</v>
      </c>
      <c r="D113">
        <v>2025</v>
      </c>
      <c r="E113">
        <v>241</v>
      </c>
      <c r="F113" s="30" t="s">
        <v>85</v>
      </c>
      <c r="G113" s="30" t="s">
        <v>29</v>
      </c>
      <c r="H113" s="30" t="s">
        <v>30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306.8</v>
      </c>
      <c r="Q113" s="2">
        <v>306.8</v>
      </c>
      <c r="R113" s="2">
        <v>0</v>
      </c>
      <c r="S113" s="2">
        <v>1657043.9</v>
      </c>
      <c r="T113" s="1">
        <v>1.8514898730202624E-4</v>
      </c>
    </row>
    <row r="114" spans="1:20" x14ac:dyDescent="0.3">
      <c r="A114" s="30" t="s">
        <v>71</v>
      </c>
      <c r="B114" s="30" t="s">
        <v>72</v>
      </c>
      <c r="C114" s="30" t="s">
        <v>21</v>
      </c>
      <c r="D114">
        <v>2025</v>
      </c>
      <c r="E114">
        <v>179</v>
      </c>
      <c r="F114" s="30" t="s">
        <v>86</v>
      </c>
      <c r="G114" s="30" t="s">
        <v>26</v>
      </c>
      <c r="H114" s="30" t="s">
        <v>60</v>
      </c>
      <c r="I114" s="2">
        <v>2455.75</v>
      </c>
      <c r="J114" s="2">
        <v>2455.75</v>
      </c>
      <c r="K114" s="2">
        <v>670.41980000000001</v>
      </c>
      <c r="L114" s="2">
        <v>196.46</v>
      </c>
      <c r="M114" s="2">
        <v>322</v>
      </c>
      <c r="N114" s="2">
        <v>80</v>
      </c>
      <c r="O114" s="2">
        <v>0</v>
      </c>
      <c r="P114" s="2">
        <v>306.8</v>
      </c>
      <c r="Q114" s="2">
        <v>4031.4297999999999</v>
      </c>
      <c r="R114" s="2">
        <v>359.11</v>
      </c>
      <c r="S114" s="2">
        <v>1657043.9</v>
      </c>
      <c r="T114" s="1">
        <v>2.4329046140539792E-3</v>
      </c>
    </row>
    <row r="115" spans="1:20" x14ac:dyDescent="0.3">
      <c r="A115" s="30" t="s">
        <v>71</v>
      </c>
      <c r="B115" s="30" t="s">
        <v>72</v>
      </c>
      <c r="C115" s="30" t="s">
        <v>21</v>
      </c>
      <c r="D115">
        <v>2025</v>
      </c>
      <c r="E115">
        <v>204</v>
      </c>
      <c r="F115" s="30" t="s">
        <v>87</v>
      </c>
      <c r="G115" s="30" t="s">
        <v>29</v>
      </c>
      <c r="H115" s="30" t="s">
        <v>30</v>
      </c>
      <c r="I115" s="2">
        <v>2339.62</v>
      </c>
      <c r="J115" s="2">
        <v>2339.62</v>
      </c>
      <c r="K115" s="2">
        <v>638.71630000000005</v>
      </c>
      <c r="L115" s="2">
        <v>187.16</v>
      </c>
      <c r="M115" s="2">
        <v>322</v>
      </c>
      <c r="N115" s="2">
        <v>0</v>
      </c>
      <c r="O115" s="2">
        <v>0</v>
      </c>
      <c r="P115" s="2">
        <v>0</v>
      </c>
      <c r="Q115" s="2">
        <v>3487.4962999999998</v>
      </c>
      <c r="R115" s="2">
        <v>0</v>
      </c>
      <c r="S115" s="2">
        <v>1657043.9</v>
      </c>
      <c r="T115" s="1">
        <v>2.1046492853931029E-3</v>
      </c>
    </row>
    <row r="116" spans="1:20" x14ac:dyDescent="0.3">
      <c r="A116" s="30" t="s">
        <v>71</v>
      </c>
      <c r="B116" s="30" t="s">
        <v>72</v>
      </c>
      <c r="C116" s="30" t="s">
        <v>21</v>
      </c>
      <c r="D116">
        <v>2025</v>
      </c>
      <c r="E116">
        <v>222</v>
      </c>
      <c r="F116" s="30" t="s">
        <v>88</v>
      </c>
      <c r="G116" s="30" t="s">
        <v>89</v>
      </c>
      <c r="H116" s="30" t="s">
        <v>50</v>
      </c>
      <c r="I116" s="2">
        <v>2103.06</v>
      </c>
      <c r="J116" s="2">
        <v>2101.44</v>
      </c>
      <c r="K116" s="2">
        <v>573.69309999999996</v>
      </c>
      <c r="L116" s="2">
        <v>168.11</v>
      </c>
      <c r="M116" s="2">
        <v>308</v>
      </c>
      <c r="N116" s="2">
        <v>80</v>
      </c>
      <c r="O116" s="2">
        <v>0</v>
      </c>
      <c r="P116" s="2">
        <v>0</v>
      </c>
      <c r="Q116" s="2">
        <v>3232.8631</v>
      </c>
      <c r="R116" s="2">
        <v>18.43</v>
      </c>
      <c r="S116" s="2">
        <v>1657043.9</v>
      </c>
      <c r="T116" s="1">
        <v>1.9509821797720629E-3</v>
      </c>
    </row>
    <row r="117" spans="1:20" x14ac:dyDescent="0.3">
      <c r="A117" s="30" t="s">
        <v>71</v>
      </c>
      <c r="B117" s="30" t="s">
        <v>72</v>
      </c>
      <c r="C117" s="30" t="s">
        <v>21</v>
      </c>
      <c r="D117">
        <v>2025</v>
      </c>
      <c r="E117">
        <v>216</v>
      </c>
      <c r="F117" s="30" t="s">
        <v>90</v>
      </c>
      <c r="G117" s="30" t="s">
        <v>39</v>
      </c>
      <c r="H117" s="30" t="s">
        <v>57</v>
      </c>
      <c r="I117" s="2">
        <v>2594.34</v>
      </c>
      <c r="J117" s="2">
        <v>2555.5300000000002</v>
      </c>
      <c r="K117" s="2">
        <v>697.65970000000004</v>
      </c>
      <c r="L117" s="2">
        <v>204.44</v>
      </c>
      <c r="M117" s="2">
        <v>322</v>
      </c>
      <c r="N117" s="2">
        <v>0</v>
      </c>
      <c r="O117" s="2">
        <v>0</v>
      </c>
      <c r="P117" s="2">
        <v>0</v>
      </c>
      <c r="Q117" s="2">
        <v>3818.4396999999999</v>
      </c>
      <c r="R117" s="2">
        <v>35.4</v>
      </c>
      <c r="S117" s="2">
        <v>1657043.9</v>
      </c>
      <c r="T117" s="1">
        <v>2.3043684539679368E-3</v>
      </c>
    </row>
    <row r="118" spans="1:20" x14ac:dyDescent="0.3">
      <c r="A118" s="30" t="s">
        <v>71</v>
      </c>
      <c r="B118" s="30" t="s">
        <v>72</v>
      </c>
      <c r="C118" s="30" t="s">
        <v>21</v>
      </c>
      <c r="D118">
        <v>2025</v>
      </c>
      <c r="E118">
        <v>221</v>
      </c>
      <c r="F118" s="30" t="s">
        <v>91</v>
      </c>
      <c r="G118" s="30" t="s">
        <v>29</v>
      </c>
      <c r="H118" s="30" t="s">
        <v>30</v>
      </c>
      <c r="I118" s="2">
        <v>2378.34</v>
      </c>
      <c r="J118" s="2">
        <v>2378.34</v>
      </c>
      <c r="K118" s="2">
        <v>649.28679999999997</v>
      </c>
      <c r="L118" s="2">
        <v>190.26</v>
      </c>
      <c r="M118" s="2">
        <v>294</v>
      </c>
      <c r="N118" s="2">
        <v>80</v>
      </c>
      <c r="O118" s="2">
        <v>0</v>
      </c>
      <c r="P118" s="2">
        <v>0</v>
      </c>
      <c r="Q118" s="2">
        <v>3591.8868000000002</v>
      </c>
      <c r="R118" s="2">
        <v>32.82</v>
      </c>
      <c r="S118" s="2">
        <v>1657043.9</v>
      </c>
      <c r="T118" s="1">
        <v>2.1676473508034401E-3</v>
      </c>
    </row>
    <row r="119" spans="1:20" x14ac:dyDescent="0.3">
      <c r="A119" s="30" t="s">
        <v>71</v>
      </c>
      <c r="B119" s="30" t="s">
        <v>72</v>
      </c>
      <c r="C119" s="30" t="s">
        <v>21</v>
      </c>
      <c r="D119">
        <v>2025</v>
      </c>
      <c r="E119">
        <v>233</v>
      </c>
      <c r="F119" s="30" t="s">
        <v>92</v>
      </c>
      <c r="G119" s="30" t="s">
        <v>39</v>
      </c>
      <c r="H119" s="30" t="s">
        <v>57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306.8</v>
      </c>
      <c r="Q119" s="2">
        <v>306.8</v>
      </c>
      <c r="R119" s="2">
        <v>0</v>
      </c>
      <c r="S119" s="2">
        <v>1657043.9</v>
      </c>
      <c r="T119" s="1">
        <v>1.8514898730202624E-4</v>
      </c>
    </row>
    <row r="120" spans="1:20" x14ac:dyDescent="0.3">
      <c r="A120" s="30" t="s">
        <v>71</v>
      </c>
      <c r="B120" s="30" t="s">
        <v>72</v>
      </c>
      <c r="C120" s="30" t="s">
        <v>21</v>
      </c>
      <c r="D120">
        <v>2025</v>
      </c>
      <c r="E120">
        <v>132</v>
      </c>
      <c r="F120" s="30" t="s">
        <v>93</v>
      </c>
      <c r="G120" s="30" t="s">
        <v>33</v>
      </c>
      <c r="H120" s="30" t="s">
        <v>94</v>
      </c>
      <c r="I120" s="2">
        <v>3436.53</v>
      </c>
      <c r="J120" s="2">
        <v>3436.53</v>
      </c>
      <c r="K120" s="2">
        <v>938.17269999999996</v>
      </c>
      <c r="L120" s="2">
        <v>274.92</v>
      </c>
      <c r="M120" s="2">
        <v>210</v>
      </c>
      <c r="N120" s="2">
        <v>0</v>
      </c>
      <c r="O120" s="2">
        <v>0</v>
      </c>
      <c r="P120" s="2">
        <v>0</v>
      </c>
      <c r="Q120" s="2">
        <v>4859.6226999999999</v>
      </c>
      <c r="R120" s="2">
        <v>0</v>
      </c>
      <c r="S120" s="2">
        <v>1657043.9</v>
      </c>
      <c r="T120" s="1">
        <v>2.9327060616800801E-3</v>
      </c>
    </row>
    <row r="121" spans="1:20" x14ac:dyDescent="0.3">
      <c r="A121" s="30" t="s">
        <v>71</v>
      </c>
      <c r="B121" s="30" t="s">
        <v>72</v>
      </c>
      <c r="C121" s="30" t="s">
        <v>21</v>
      </c>
      <c r="D121">
        <v>2025</v>
      </c>
      <c r="E121">
        <v>194</v>
      </c>
      <c r="F121" s="30" t="s">
        <v>95</v>
      </c>
      <c r="G121" s="30" t="s">
        <v>29</v>
      </c>
      <c r="H121" s="30" t="s">
        <v>30</v>
      </c>
      <c r="I121" s="2">
        <v>2469.65</v>
      </c>
      <c r="J121" s="2">
        <v>2469.65</v>
      </c>
      <c r="K121" s="2">
        <v>674.21450000000004</v>
      </c>
      <c r="L121" s="2">
        <v>197.57</v>
      </c>
      <c r="M121" s="2">
        <v>294</v>
      </c>
      <c r="N121" s="2">
        <v>0</v>
      </c>
      <c r="O121" s="2">
        <v>0</v>
      </c>
      <c r="P121" s="2">
        <v>306.8</v>
      </c>
      <c r="Q121" s="2">
        <v>3942.2343999999998</v>
      </c>
      <c r="R121" s="2">
        <v>12.08</v>
      </c>
      <c r="S121" s="2">
        <v>1657043.9</v>
      </c>
      <c r="T121" s="1">
        <v>2.379076649689245E-3</v>
      </c>
    </row>
    <row r="122" spans="1:20" x14ac:dyDescent="0.3">
      <c r="A122" s="30" t="s">
        <v>71</v>
      </c>
      <c r="B122" s="30" t="s">
        <v>72</v>
      </c>
      <c r="C122" s="30" t="s">
        <v>21</v>
      </c>
      <c r="D122">
        <v>2025</v>
      </c>
      <c r="E122">
        <v>242</v>
      </c>
      <c r="F122" s="30" t="s">
        <v>96</v>
      </c>
      <c r="G122" s="30" t="s">
        <v>39</v>
      </c>
      <c r="H122" s="30" t="s">
        <v>57</v>
      </c>
      <c r="I122" s="2">
        <v>0</v>
      </c>
      <c r="J122" s="2">
        <v>0</v>
      </c>
      <c r="K122" s="2">
        <v>0</v>
      </c>
      <c r="L122" s="2">
        <v>0</v>
      </c>
      <c r="M122" s="2">
        <v>322</v>
      </c>
      <c r="N122" s="2">
        <v>0</v>
      </c>
      <c r="O122" s="2">
        <v>0</v>
      </c>
      <c r="P122" s="2">
        <v>306.8</v>
      </c>
      <c r="Q122" s="2">
        <v>628.79999999999995</v>
      </c>
      <c r="R122" s="2">
        <v>0</v>
      </c>
      <c r="S122" s="2">
        <v>1657043.9</v>
      </c>
      <c r="T122" s="1">
        <v>3.7947093616530014E-4</v>
      </c>
    </row>
    <row r="123" spans="1:20" x14ac:dyDescent="0.3">
      <c r="A123" s="30" t="s">
        <v>71</v>
      </c>
      <c r="B123" s="30" t="s">
        <v>72</v>
      </c>
      <c r="C123" s="30" t="s">
        <v>21</v>
      </c>
      <c r="D123">
        <v>2025</v>
      </c>
      <c r="E123">
        <v>228</v>
      </c>
      <c r="F123" s="30" t="s">
        <v>97</v>
      </c>
      <c r="G123" s="30" t="s">
        <v>33</v>
      </c>
      <c r="H123" s="30" t="s">
        <v>64</v>
      </c>
      <c r="I123" s="2">
        <v>820</v>
      </c>
      <c r="J123" s="2">
        <v>0</v>
      </c>
      <c r="K123" s="2">
        <v>0</v>
      </c>
      <c r="L123" s="2">
        <v>0</v>
      </c>
      <c r="M123" s="2">
        <v>0</v>
      </c>
      <c r="N123" s="2">
        <v>80</v>
      </c>
      <c r="O123" s="2">
        <v>0</v>
      </c>
      <c r="P123" s="2">
        <v>306.8</v>
      </c>
      <c r="Q123" s="2">
        <v>1206.8</v>
      </c>
      <c r="R123" s="2">
        <v>29.4</v>
      </c>
      <c r="S123" s="2">
        <v>1657043.9</v>
      </c>
      <c r="T123" s="1">
        <v>7.2828486921800925E-4</v>
      </c>
    </row>
    <row r="124" spans="1:20" x14ac:dyDescent="0.3">
      <c r="A124" s="30" t="s">
        <v>71</v>
      </c>
      <c r="B124" s="30" t="s">
        <v>72</v>
      </c>
      <c r="C124" s="30" t="s">
        <v>21</v>
      </c>
      <c r="D124">
        <v>2025</v>
      </c>
      <c r="E124">
        <v>246</v>
      </c>
      <c r="F124" s="30" t="s">
        <v>98</v>
      </c>
      <c r="G124" s="30" t="s">
        <v>29</v>
      </c>
      <c r="H124" s="30" t="s">
        <v>30</v>
      </c>
      <c r="I124" s="2">
        <v>2249.3000000000002</v>
      </c>
      <c r="J124" s="2">
        <v>2249.3000000000002</v>
      </c>
      <c r="K124" s="2">
        <v>614.05889999999999</v>
      </c>
      <c r="L124" s="2">
        <v>179.94</v>
      </c>
      <c r="M124" s="2">
        <v>294</v>
      </c>
      <c r="N124" s="2">
        <v>0</v>
      </c>
      <c r="O124" s="2">
        <v>0</v>
      </c>
      <c r="P124" s="2">
        <v>0</v>
      </c>
      <c r="Q124" s="2">
        <v>3337.2988999999998</v>
      </c>
      <c r="R124" s="2">
        <v>28.3</v>
      </c>
      <c r="S124" s="2">
        <v>1657043.9</v>
      </c>
      <c r="T124" s="1">
        <v>2.0140075347430449E-3</v>
      </c>
    </row>
    <row r="125" spans="1:20" x14ac:dyDescent="0.3">
      <c r="A125" s="30" t="s">
        <v>71</v>
      </c>
      <c r="B125" s="30" t="s">
        <v>72</v>
      </c>
      <c r="C125" s="30" t="s">
        <v>21</v>
      </c>
      <c r="D125">
        <v>2025</v>
      </c>
      <c r="E125">
        <v>239</v>
      </c>
      <c r="F125" s="30" t="s">
        <v>99</v>
      </c>
      <c r="G125" s="30" t="s">
        <v>26</v>
      </c>
      <c r="H125" s="30" t="s">
        <v>60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165.2</v>
      </c>
      <c r="Q125" s="2">
        <v>165.2</v>
      </c>
      <c r="R125" s="2">
        <v>0</v>
      </c>
      <c r="S125" s="2">
        <v>1657043.9</v>
      </c>
      <c r="T125" s="1">
        <v>9.9695608547244877E-5</v>
      </c>
    </row>
    <row r="126" spans="1:20" x14ac:dyDescent="0.3">
      <c r="A126" s="30" t="s">
        <v>71</v>
      </c>
      <c r="B126" s="30" t="s">
        <v>72</v>
      </c>
      <c r="C126" s="30" t="s">
        <v>21</v>
      </c>
      <c r="D126">
        <v>2025</v>
      </c>
      <c r="E126">
        <v>165</v>
      </c>
      <c r="F126" s="30" t="s">
        <v>100</v>
      </c>
      <c r="G126" s="30" t="s">
        <v>26</v>
      </c>
      <c r="H126" s="30" t="s">
        <v>60</v>
      </c>
      <c r="I126" s="2">
        <v>2085.5100000000002</v>
      </c>
      <c r="J126" s="2">
        <v>2075.37</v>
      </c>
      <c r="K126" s="2">
        <v>566.57600000000002</v>
      </c>
      <c r="L126" s="2">
        <v>166.02</v>
      </c>
      <c r="M126" s="2">
        <v>322</v>
      </c>
      <c r="N126" s="2">
        <v>0</v>
      </c>
      <c r="O126" s="2">
        <v>0</v>
      </c>
      <c r="P126" s="2">
        <v>0</v>
      </c>
      <c r="Q126" s="2">
        <v>3140.1060000000002</v>
      </c>
      <c r="R126" s="2">
        <v>4.53</v>
      </c>
      <c r="S126" s="2">
        <v>1657043.9</v>
      </c>
      <c r="T126" s="1">
        <v>1.895004718945588E-3</v>
      </c>
    </row>
    <row r="127" spans="1:20" x14ac:dyDescent="0.3">
      <c r="A127" s="30" t="s">
        <v>71</v>
      </c>
      <c r="B127" s="30" t="s">
        <v>72</v>
      </c>
      <c r="C127" s="30" t="s">
        <v>21</v>
      </c>
      <c r="D127">
        <v>2025</v>
      </c>
      <c r="E127">
        <v>210</v>
      </c>
      <c r="F127" s="30" t="s">
        <v>101</v>
      </c>
      <c r="G127" s="30" t="s">
        <v>89</v>
      </c>
      <c r="H127" s="30" t="s">
        <v>34</v>
      </c>
      <c r="I127" s="2">
        <v>2211</v>
      </c>
      <c r="J127" s="2">
        <v>2197.77</v>
      </c>
      <c r="K127" s="2">
        <v>599.99120000000005</v>
      </c>
      <c r="L127" s="2">
        <v>175.82</v>
      </c>
      <c r="M127" s="2">
        <v>308</v>
      </c>
      <c r="N127" s="2">
        <v>0</v>
      </c>
      <c r="O127" s="2">
        <v>0</v>
      </c>
      <c r="P127" s="2">
        <v>306.8</v>
      </c>
      <c r="Q127" s="2">
        <v>3601.6111999999998</v>
      </c>
      <c r="R127" s="2">
        <v>27.34</v>
      </c>
      <c r="S127" s="2">
        <v>1657043.9</v>
      </c>
      <c r="T127" s="1">
        <v>2.1735158676242676E-3</v>
      </c>
    </row>
    <row r="128" spans="1:20" x14ac:dyDescent="0.3">
      <c r="A128" s="30" t="s">
        <v>71</v>
      </c>
      <c r="B128" s="30" t="s">
        <v>72</v>
      </c>
      <c r="C128" s="30" t="s">
        <v>21</v>
      </c>
      <c r="D128">
        <v>2025</v>
      </c>
      <c r="E128">
        <v>167</v>
      </c>
      <c r="F128" s="30" t="s">
        <v>102</v>
      </c>
      <c r="G128" s="30" t="s">
        <v>26</v>
      </c>
      <c r="H128" s="30" t="s">
        <v>60</v>
      </c>
      <c r="I128" s="2">
        <v>2287.29</v>
      </c>
      <c r="J128" s="2">
        <v>2118.37</v>
      </c>
      <c r="K128" s="2">
        <v>578.31500000000005</v>
      </c>
      <c r="L128" s="2">
        <v>169.46</v>
      </c>
      <c r="M128" s="2">
        <v>322</v>
      </c>
      <c r="N128" s="2">
        <v>80</v>
      </c>
      <c r="O128" s="2">
        <v>0</v>
      </c>
      <c r="P128" s="2">
        <v>0</v>
      </c>
      <c r="Q128" s="2">
        <v>3437.0650000000001</v>
      </c>
      <c r="R128" s="2">
        <v>196.57</v>
      </c>
      <c r="S128" s="2">
        <v>1657043.9</v>
      </c>
      <c r="T128" s="1">
        <v>2.0742148171210193E-3</v>
      </c>
    </row>
    <row r="129" spans="1:20" x14ac:dyDescent="0.3">
      <c r="A129" s="30" t="s">
        <v>71</v>
      </c>
      <c r="B129" s="30" t="s">
        <v>72</v>
      </c>
      <c r="C129" s="30" t="s">
        <v>21</v>
      </c>
      <c r="D129">
        <v>2025</v>
      </c>
      <c r="E129">
        <v>224</v>
      </c>
      <c r="F129" s="30" t="s">
        <v>103</v>
      </c>
      <c r="G129" s="30" t="s">
        <v>29</v>
      </c>
      <c r="H129" s="30" t="s">
        <v>30</v>
      </c>
      <c r="I129" s="2">
        <v>2348.63</v>
      </c>
      <c r="J129" s="2">
        <v>2348.63</v>
      </c>
      <c r="K129" s="2">
        <v>641.17600000000004</v>
      </c>
      <c r="L129" s="2">
        <v>187.89</v>
      </c>
      <c r="M129" s="2">
        <v>308</v>
      </c>
      <c r="N129" s="2">
        <v>80</v>
      </c>
      <c r="O129" s="2">
        <v>0</v>
      </c>
      <c r="P129" s="2">
        <v>0</v>
      </c>
      <c r="Q129" s="2">
        <v>3565.6959999999999</v>
      </c>
      <c r="R129" s="2">
        <v>10.45</v>
      </c>
      <c r="S129" s="2">
        <v>1657043.9</v>
      </c>
      <c r="T129" s="1">
        <v>2.1518415957477049E-3</v>
      </c>
    </row>
    <row r="130" spans="1:20" x14ac:dyDescent="0.3">
      <c r="A130" s="30" t="s">
        <v>71</v>
      </c>
      <c r="B130" s="30" t="s">
        <v>72</v>
      </c>
      <c r="C130" s="30" t="s">
        <v>21</v>
      </c>
      <c r="D130">
        <v>2025</v>
      </c>
      <c r="E130">
        <v>236</v>
      </c>
      <c r="F130" s="30" t="s">
        <v>104</v>
      </c>
      <c r="G130" s="30" t="s">
        <v>39</v>
      </c>
      <c r="H130" s="30" t="s">
        <v>55</v>
      </c>
      <c r="I130" s="2">
        <v>2491.23</v>
      </c>
      <c r="J130" s="2">
        <v>2316.6999999999998</v>
      </c>
      <c r="K130" s="2">
        <v>632.45910000000003</v>
      </c>
      <c r="L130" s="2">
        <v>185.33</v>
      </c>
      <c r="M130" s="2">
        <v>614</v>
      </c>
      <c r="N130" s="2">
        <v>0</v>
      </c>
      <c r="O130" s="2">
        <v>0</v>
      </c>
      <c r="P130" s="2">
        <v>0</v>
      </c>
      <c r="Q130" s="2">
        <v>3923.0191</v>
      </c>
      <c r="R130" s="2">
        <v>26.75</v>
      </c>
      <c r="S130" s="2">
        <v>1657043.9</v>
      </c>
      <c r="T130" s="1">
        <v>2.367480487390829E-3</v>
      </c>
    </row>
    <row r="131" spans="1:20" x14ac:dyDescent="0.3">
      <c r="A131" s="30" t="s">
        <v>71</v>
      </c>
      <c r="B131" s="30" t="s">
        <v>72</v>
      </c>
      <c r="C131" s="30" t="s">
        <v>21</v>
      </c>
      <c r="D131">
        <v>2025</v>
      </c>
      <c r="E131">
        <v>250</v>
      </c>
      <c r="F131" s="30" t="s">
        <v>105</v>
      </c>
      <c r="G131" s="30" t="s">
        <v>33</v>
      </c>
      <c r="H131" s="30" t="s">
        <v>50</v>
      </c>
      <c r="I131" s="2">
        <v>607.86</v>
      </c>
      <c r="J131" s="2">
        <v>607.86</v>
      </c>
      <c r="K131" s="2">
        <v>165.94579999999999</v>
      </c>
      <c r="L131" s="2">
        <v>48.62</v>
      </c>
      <c r="M131" s="2">
        <v>0</v>
      </c>
      <c r="N131" s="2">
        <v>0</v>
      </c>
      <c r="O131" s="2">
        <v>0</v>
      </c>
      <c r="P131" s="2">
        <v>0</v>
      </c>
      <c r="Q131" s="2">
        <v>822.42579999999998</v>
      </c>
      <c r="R131" s="2">
        <v>15.36</v>
      </c>
      <c r="S131" s="2">
        <v>1657043.9</v>
      </c>
      <c r="T131" s="1">
        <v>4.9632105703415592E-4</v>
      </c>
    </row>
    <row r="132" spans="1:20" x14ac:dyDescent="0.3">
      <c r="A132" s="30" t="s">
        <v>71</v>
      </c>
      <c r="B132" s="30" t="s">
        <v>72</v>
      </c>
      <c r="C132" s="30" t="s">
        <v>21</v>
      </c>
      <c r="D132">
        <v>2025</v>
      </c>
      <c r="E132">
        <v>205</v>
      </c>
      <c r="F132" s="30" t="s">
        <v>106</v>
      </c>
      <c r="G132" s="30" t="s">
        <v>33</v>
      </c>
      <c r="H132" s="30" t="s">
        <v>50</v>
      </c>
      <c r="I132" s="2">
        <v>2187.75</v>
      </c>
      <c r="J132" s="2">
        <v>2122.84</v>
      </c>
      <c r="K132" s="2">
        <v>579.53530000000001</v>
      </c>
      <c r="L132" s="2">
        <v>169.82</v>
      </c>
      <c r="M132" s="2">
        <v>294</v>
      </c>
      <c r="N132" s="2">
        <v>0</v>
      </c>
      <c r="O132" s="2">
        <v>0</v>
      </c>
      <c r="P132" s="2">
        <v>0</v>
      </c>
      <c r="Q132" s="2">
        <v>3231.1053000000002</v>
      </c>
      <c r="R132" s="2">
        <v>20.94</v>
      </c>
      <c r="S132" s="2">
        <v>1657043.9</v>
      </c>
      <c r="T132" s="1">
        <v>1.9499213750462496E-3</v>
      </c>
    </row>
    <row r="133" spans="1:20" x14ac:dyDescent="0.3">
      <c r="A133" s="30" t="s">
        <v>71</v>
      </c>
      <c r="B133" s="30" t="s">
        <v>72</v>
      </c>
      <c r="C133" s="30" t="s">
        <v>21</v>
      </c>
      <c r="D133">
        <v>2025</v>
      </c>
      <c r="E133">
        <v>245</v>
      </c>
      <c r="F133" s="30" t="s">
        <v>107</v>
      </c>
      <c r="G133" s="30" t="s">
        <v>29</v>
      </c>
      <c r="H133" s="30" t="s">
        <v>30</v>
      </c>
      <c r="I133" s="2">
        <v>0</v>
      </c>
      <c r="J133" s="2">
        <v>0</v>
      </c>
      <c r="K133" s="2">
        <v>0</v>
      </c>
      <c r="L133" s="2">
        <v>0</v>
      </c>
      <c r="M133" s="2">
        <v>322</v>
      </c>
      <c r="N133" s="2">
        <v>0</v>
      </c>
      <c r="O133" s="2">
        <v>0</v>
      </c>
      <c r="P133" s="2">
        <v>306.8</v>
      </c>
      <c r="Q133" s="2">
        <v>628.79999999999995</v>
      </c>
      <c r="R133" s="2">
        <v>0</v>
      </c>
      <c r="S133" s="2">
        <v>1657043.9</v>
      </c>
      <c r="T133" s="1">
        <v>3.7947093616530014E-4</v>
      </c>
    </row>
    <row r="134" spans="1:20" x14ac:dyDescent="0.3">
      <c r="A134" s="30" t="s">
        <v>71</v>
      </c>
      <c r="B134" s="30" t="s">
        <v>72</v>
      </c>
      <c r="C134" s="30" t="s">
        <v>21</v>
      </c>
      <c r="D134">
        <v>2025</v>
      </c>
      <c r="E134">
        <v>215</v>
      </c>
      <c r="F134" s="30" t="s">
        <v>108</v>
      </c>
      <c r="G134" s="30" t="s">
        <v>29</v>
      </c>
      <c r="H134" s="30" t="s">
        <v>30</v>
      </c>
      <c r="I134" s="2">
        <v>3544.24</v>
      </c>
      <c r="J134" s="2">
        <v>115.55</v>
      </c>
      <c r="K134" s="2">
        <v>31.545200000000001</v>
      </c>
      <c r="L134" s="2">
        <v>9.24</v>
      </c>
      <c r="M134" s="2">
        <v>0</v>
      </c>
      <c r="N134" s="2">
        <v>0</v>
      </c>
      <c r="O134" s="2">
        <v>0</v>
      </c>
      <c r="P134" s="2">
        <v>0</v>
      </c>
      <c r="Q134" s="2">
        <v>3585.0250999999998</v>
      </c>
      <c r="R134" s="2">
        <v>0</v>
      </c>
      <c r="S134" s="2">
        <v>1657043.9</v>
      </c>
      <c r="T134" s="1">
        <v>2.1635064405958102E-3</v>
      </c>
    </row>
    <row r="135" spans="1:20" x14ac:dyDescent="0.3">
      <c r="A135" s="30" t="s">
        <v>71</v>
      </c>
      <c r="B135" s="30" t="s">
        <v>72</v>
      </c>
      <c r="C135" s="30" t="s">
        <v>21</v>
      </c>
      <c r="D135">
        <v>2025</v>
      </c>
      <c r="E135">
        <v>240</v>
      </c>
      <c r="F135" s="30" t="s">
        <v>109</v>
      </c>
      <c r="G135" s="30" t="s">
        <v>29</v>
      </c>
      <c r="H135" s="30" t="s">
        <v>30</v>
      </c>
      <c r="I135" s="2">
        <v>2242.9899999999998</v>
      </c>
      <c r="J135" s="2">
        <v>2242.9899999999998</v>
      </c>
      <c r="K135" s="2">
        <v>612.33630000000005</v>
      </c>
      <c r="L135" s="2">
        <v>179.43</v>
      </c>
      <c r="M135" s="2">
        <v>322</v>
      </c>
      <c r="N135" s="2">
        <v>0</v>
      </c>
      <c r="O135" s="2">
        <v>0</v>
      </c>
      <c r="P135" s="2">
        <v>0</v>
      </c>
      <c r="Q135" s="2">
        <v>3356.7563</v>
      </c>
      <c r="R135" s="2">
        <v>21.99</v>
      </c>
      <c r="S135" s="2">
        <v>1657043.9</v>
      </c>
      <c r="T135" s="1">
        <v>2.0257497523149507E-3</v>
      </c>
    </row>
    <row r="136" spans="1:20" x14ac:dyDescent="0.3">
      <c r="A136" s="30" t="s">
        <v>71</v>
      </c>
      <c r="B136" s="30" t="s">
        <v>72</v>
      </c>
      <c r="C136" s="30" t="s">
        <v>21</v>
      </c>
      <c r="D136">
        <v>2025</v>
      </c>
      <c r="E136">
        <v>123</v>
      </c>
      <c r="F136" s="30" t="s">
        <v>110</v>
      </c>
      <c r="G136" s="30" t="s">
        <v>29</v>
      </c>
      <c r="H136" s="30" t="s">
        <v>111</v>
      </c>
      <c r="I136" s="2">
        <v>2970.84</v>
      </c>
      <c r="J136" s="2">
        <v>2961.66</v>
      </c>
      <c r="K136" s="2">
        <v>808.53319999999997</v>
      </c>
      <c r="L136" s="2">
        <v>236.93</v>
      </c>
      <c r="M136" s="2">
        <v>400</v>
      </c>
      <c r="N136" s="2">
        <v>80</v>
      </c>
      <c r="O136" s="2">
        <v>0</v>
      </c>
      <c r="P136" s="2">
        <v>0</v>
      </c>
      <c r="Q136" s="2">
        <v>4496.3032000000003</v>
      </c>
      <c r="R136" s="2">
        <v>373.92</v>
      </c>
      <c r="S136" s="2">
        <v>1657043.9</v>
      </c>
      <c r="T136" s="1">
        <v>2.7134484367010436E-3</v>
      </c>
    </row>
    <row r="137" spans="1:20" x14ac:dyDescent="0.3">
      <c r="A137" s="30" t="s">
        <v>71</v>
      </c>
      <c r="B137" s="30" t="s">
        <v>72</v>
      </c>
      <c r="C137" s="30" t="s">
        <v>21</v>
      </c>
      <c r="D137">
        <v>2025</v>
      </c>
      <c r="E137">
        <v>152</v>
      </c>
      <c r="F137" s="30" t="s">
        <v>112</v>
      </c>
      <c r="G137" s="30" t="s">
        <v>29</v>
      </c>
      <c r="H137" s="30" t="s">
        <v>30</v>
      </c>
      <c r="I137" s="2">
        <v>2345.2199999999998</v>
      </c>
      <c r="J137" s="2">
        <v>2298.1799999999998</v>
      </c>
      <c r="K137" s="2">
        <v>627.40309999999999</v>
      </c>
      <c r="L137" s="2">
        <v>183.85</v>
      </c>
      <c r="M137" s="2">
        <v>308</v>
      </c>
      <c r="N137" s="2">
        <v>0</v>
      </c>
      <c r="O137" s="2">
        <v>0</v>
      </c>
      <c r="P137" s="2">
        <v>0</v>
      </c>
      <c r="Q137" s="2">
        <v>3464.4731000000002</v>
      </c>
      <c r="R137" s="2">
        <v>0</v>
      </c>
      <c r="S137" s="2">
        <v>1657043.9</v>
      </c>
      <c r="T137" s="1">
        <v>2.0907551936312613E-3</v>
      </c>
    </row>
    <row r="138" spans="1:20" x14ac:dyDescent="0.3">
      <c r="A138" s="30" t="s">
        <v>71</v>
      </c>
      <c r="B138" s="30" t="s">
        <v>72</v>
      </c>
      <c r="C138" s="30" t="s">
        <v>21</v>
      </c>
      <c r="D138">
        <v>2025</v>
      </c>
      <c r="E138">
        <v>247</v>
      </c>
      <c r="F138" s="30" t="s">
        <v>113</v>
      </c>
      <c r="G138" s="30" t="s">
        <v>29</v>
      </c>
      <c r="H138" s="30" t="s">
        <v>30</v>
      </c>
      <c r="I138" s="2">
        <v>1908.78</v>
      </c>
      <c r="J138" s="2">
        <v>1908.78</v>
      </c>
      <c r="K138" s="2">
        <v>521.09690000000001</v>
      </c>
      <c r="L138" s="2">
        <v>152.69999999999999</v>
      </c>
      <c r="M138" s="2">
        <v>280</v>
      </c>
      <c r="N138" s="2">
        <v>0</v>
      </c>
      <c r="O138" s="2">
        <v>0</v>
      </c>
      <c r="P138" s="2">
        <v>306.8</v>
      </c>
      <c r="Q138" s="2">
        <v>3169.3769000000002</v>
      </c>
      <c r="R138" s="2">
        <v>57.95</v>
      </c>
      <c r="S138" s="2">
        <v>1657043.9</v>
      </c>
      <c r="T138" s="1">
        <v>1.912669266034533E-3</v>
      </c>
    </row>
    <row r="139" spans="1:20" x14ac:dyDescent="0.3">
      <c r="A139" s="30" t="s">
        <v>71</v>
      </c>
      <c r="B139" s="30" t="s">
        <v>72</v>
      </c>
      <c r="C139" s="30" t="s">
        <v>21</v>
      </c>
      <c r="D139">
        <v>2025</v>
      </c>
      <c r="E139">
        <v>249</v>
      </c>
      <c r="F139" s="30" t="s">
        <v>114</v>
      </c>
      <c r="G139" s="30" t="s">
        <v>39</v>
      </c>
      <c r="H139" s="30" t="s">
        <v>57</v>
      </c>
      <c r="I139" s="2">
        <v>2212.2800000000002</v>
      </c>
      <c r="J139" s="2">
        <v>2170.38</v>
      </c>
      <c r="K139" s="2">
        <v>592.51369999999997</v>
      </c>
      <c r="L139" s="2">
        <v>173.63</v>
      </c>
      <c r="M139" s="2">
        <v>460</v>
      </c>
      <c r="N139" s="2">
        <v>0</v>
      </c>
      <c r="O139" s="2">
        <v>0</v>
      </c>
      <c r="P139" s="2">
        <v>0</v>
      </c>
      <c r="Q139" s="2">
        <v>3438.4236999999998</v>
      </c>
      <c r="R139" s="2">
        <v>191.03</v>
      </c>
      <c r="S139" s="2">
        <v>1657043.9</v>
      </c>
      <c r="T139" s="1">
        <v>2.0750347893619477E-3</v>
      </c>
    </row>
    <row r="140" spans="1:20" x14ac:dyDescent="0.3">
      <c r="A140" s="30" t="s">
        <v>71</v>
      </c>
      <c r="B140" s="30" t="s">
        <v>72</v>
      </c>
      <c r="C140" s="30" t="s">
        <v>21</v>
      </c>
      <c r="D140">
        <v>2025</v>
      </c>
      <c r="E140">
        <v>248</v>
      </c>
      <c r="F140" s="30" t="s">
        <v>115</v>
      </c>
      <c r="G140" s="30" t="s">
        <v>33</v>
      </c>
      <c r="H140" s="30" t="s">
        <v>50</v>
      </c>
      <c r="I140" s="2">
        <v>1716.83</v>
      </c>
      <c r="J140" s="2">
        <v>1716.83</v>
      </c>
      <c r="K140" s="2">
        <v>468.69459999999998</v>
      </c>
      <c r="L140" s="2">
        <v>137.34</v>
      </c>
      <c r="M140" s="2">
        <v>280</v>
      </c>
      <c r="N140" s="2">
        <v>0</v>
      </c>
      <c r="O140" s="2">
        <v>0</v>
      </c>
      <c r="P140" s="2">
        <v>306.8</v>
      </c>
      <c r="Q140" s="2">
        <v>2909.6646000000001</v>
      </c>
      <c r="R140" s="2">
        <v>71</v>
      </c>
      <c r="S140" s="2">
        <v>1657043.9</v>
      </c>
      <c r="T140" s="1">
        <v>1.7559369368548414E-3</v>
      </c>
    </row>
    <row r="141" spans="1:20" x14ac:dyDescent="0.3">
      <c r="A141" s="30" t="s">
        <v>71</v>
      </c>
      <c r="B141" s="30" t="s">
        <v>72</v>
      </c>
      <c r="C141" s="30" t="s">
        <v>21</v>
      </c>
      <c r="D141">
        <v>2025</v>
      </c>
      <c r="E141">
        <v>2005</v>
      </c>
      <c r="F141" s="30" t="s">
        <v>116</v>
      </c>
      <c r="G141" s="30" t="s">
        <v>33</v>
      </c>
      <c r="H141" s="30" t="s">
        <v>64</v>
      </c>
      <c r="I141" s="2">
        <v>820</v>
      </c>
      <c r="J141" s="2">
        <v>0</v>
      </c>
      <c r="K141" s="2">
        <v>0</v>
      </c>
      <c r="L141" s="2">
        <v>0</v>
      </c>
      <c r="M141" s="2">
        <v>0</v>
      </c>
      <c r="N141" s="2">
        <v>80</v>
      </c>
      <c r="O141" s="2">
        <v>0</v>
      </c>
      <c r="P141" s="2">
        <v>306.8</v>
      </c>
      <c r="Q141" s="2">
        <v>1206.8</v>
      </c>
      <c r="R141" s="2">
        <v>67.8</v>
      </c>
      <c r="S141" s="2">
        <v>1657043.9</v>
      </c>
      <c r="T141" s="1">
        <v>7.2828486921800925E-4</v>
      </c>
    </row>
    <row r="142" spans="1:20" x14ac:dyDescent="0.3">
      <c r="A142" s="30" t="s">
        <v>71</v>
      </c>
      <c r="B142" s="30" t="s">
        <v>72</v>
      </c>
      <c r="C142" s="30" t="s">
        <v>21</v>
      </c>
      <c r="D142">
        <v>2025</v>
      </c>
      <c r="E142">
        <v>2006</v>
      </c>
      <c r="F142" s="30" t="s">
        <v>117</v>
      </c>
      <c r="G142" s="30" t="s">
        <v>33</v>
      </c>
      <c r="H142" s="30" t="s">
        <v>64</v>
      </c>
      <c r="I142" s="2">
        <v>820</v>
      </c>
      <c r="J142" s="2">
        <v>0</v>
      </c>
      <c r="K142" s="2">
        <v>0</v>
      </c>
      <c r="L142" s="2">
        <v>0</v>
      </c>
      <c r="M142" s="2">
        <v>0</v>
      </c>
      <c r="N142" s="2">
        <v>80</v>
      </c>
      <c r="O142" s="2">
        <v>0</v>
      </c>
      <c r="P142" s="2">
        <v>306.8</v>
      </c>
      <c r="Q142" s="2">
        <v>1206.8</v>
      </c>
      <c r="R142" s="2">
        <v>172.55</v>
      </c>
      <c r="S142" s="2">
        <v>1657043.9</v>
      </c>
      <c r="T142" s="1">
        <v>7.2828486921800925E-4</v>
      </c>
    </row>
    <row r="143" spans="1:20" x14ac:dyDescent="0.3">
      <c r="A143" s="30" t="s">
        <v>71</v>
      </c>
      <c r="B143" s="30" t="s">
        <v>72</v>
      </c>
      <c r="C143" s="30" t="s">
        <v>257</v>
      </c>
      <c r="D143">
        <v>2025</v>
      </c>
      <c r="E143">
        <v>151</v>
      </c>
      <c r="F143" s="30" t="s">
        <v>73</v>
      </c>
      <c r="G143" s="30" t="s">
        <v>33</v>
      </c>
      <c r="H143" s="30" t="s">
        <v>50</v>
      </c>
      <c r="I143" s="2">
        <v>2108.3000000000002</v>
      </c>
      <c r="J143" s="2">
        <v>2076.65</v>
      </c>
      <c r="K143" s="2">
        <v>566.92550000000006</v>
      </c>
      <c r="L143" s="2">
        <v>166.13</v>
      </c>
      <c r="M143" s="2">
        <v>322</v>
      </c>
      <c r="N143" s="2">
        <v>0</v>
      </c>
      <c r="O143" s="2">
        <v>0</v>
      </c>
      <c r="P143" s="2">
        <v>306.8</v>
      </c>
      <c r="Q143" s="2">
        <v>3470.1554999999998</v>
      </c>
      <c r="R143" s="2">
        <v>30.09</v>
      </c>
      <c r="S143" s="2">
        <v>1849662.93</v>
      </c>
      <c r="T143" s="1">
        <v>1.8761015284011777E-3</v>
      </c>
    </row>
    <row r="144" spans="1:20" x14ac:dyDescent="0.3">
      <c r="A144" s="30" t="s">
        <v>71</v>
      </c>
      <c r="B144" s="30" t="s">
        <v>72</v>
      </c>
      <c r="C144" s="30" t="s">
        <v>257</v>
      </c>
      <c r="D144">
        <v>2025</v>
      </c>
      <c r="E144">
        <v>170</v>
      </c>
      <c r="F144" s="30" t="s">
        <v>74</v>
      </c>
      <c r="G144" s="30" t="s">
        <v>39</v>
      </c>
      <c r="H144" s="30" t="s">
        <v>60</v>
      </c>
      <c r="I144" s="2">
        <v>2003.26</v>
      </c>
      <c r="J144" s="2">
        <v>1994.91</v>
      </c>
      <c r="K144" s="2">
        <v>544.61040000000003</v>
      </c>
      <c r="L144" s="2">
        <v>159.59</v>
      </c>
      <c r="M144" s="2">
        <v>350</v>
      </c>
      <c r="N144" s="2">
        <v>80</v>
      </c>
      <c r="O144" s="2">
        <v>0</v>
      </c>
      <c r="P144" s="2">
        <v>0</v>
      </c>
      <c r="Q144" s="2">
        <v>3137.4603999999999</v>
      </c>
      <c r="R144" s="2">
        <v>28.26</v>
      </c>
      <c r="S144" s="2">
        <v>1849662.93</v>
      </c>
      <c r="T144" s="1">
        <v>1.6962336105205936E-3</v>
      </c>
    </row>
    <row r="145" spans="1:20" x14ac:dyDescent="0.3">
      <c r="A145" s="30" t="s">
        <v>71</v>
      </c>
      <c r="B145" s="30" t="s">
        <v>72</v>
      </c>
      <c r="C145" s="30" t="s">
        <v>257</v>
      </c>
      <c r="D145">
        <v>2025</v>
      </c>
      <c r="E145">
        <v>47</v>
      </c>
      <c r="F145" s="30" t="s">
        <v>75</v>
      </c>
      <c r="G145" s="30" t="s">
        <v>76</v>
      </c>
      <c r="H145" s="30" t="s">
        <v>76</v>
      </c>
      <c r="I145" s="2">
        <v>8157.41</v>
      </c>
      <c r="J145" s="2">
        <v>8157.41</v>
      </c>
      <c r="K145" s="2">
        <v>1631.482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9788.8919999999998</v>
      </c>
      <c r="R145" s="2">
        <v>0</v>
      </c>
      <c r="S145" s="2">
        <v>1849662.93</v>
      </c>
      <c r="T145" s="1">
        <v>5.2922572222388652E-3</v>
      </c>
    </row>
    <row r="146" spans="1:20" x14ac:dyDescent="0.3">
      <c r="A146" s="30" t="s">
        <v>71</v>
      </c>
      <c r="B146" s="30" t="s">
        <v>72</v>
      </c>
      <c r="C146" s="30" t="s">
        <v>257</v>
      </c>
      <c r="D146">
        <v>2025</v>
      </c>
      <c r="E146">
        <v>251</v>
      </c>
      <c r="F146" s="30" t="s">
        <v>261</v>
      </c>
      <c r="G146" s="30" t="s">
        <v>29</v>
      </c>
      <c r="H146" s="30" t="s">
        <v>30</v>
      </c>
      <c r="I146" s="2">
        <v>1644.84</v>
      </c>
      <c r="J146" s="2">
        <v>1644.84</v>
      </c>
      <c r="K146" s="2">
        <v>449.04129999999998</v>
      </c>
      <c r="L146" s="2">
        <v>131.58000000000001</v>
      </c>
      <c r="M146" s="2">
        <v>238</v>
      </c>
      <c r="N146" s="2">
        <v>0</v>
      </c>
      <c r="O146" s="2">
        <v>0</v>
      </c>
      <c r="P146" s="2">
        <v>0</v>
      </c>
      <c r="Q146" s="2">
        <v>2463.4612999999999</v>
      </c>
      <c r="R146" s="2">
        <v>16.11</v>
      </c>
      <c r="S146" s="2">
        <v>1849662.93</v>
      </c>
      <c r="T146" s="1">
        <v>1.3318433753765071E-3</v>
      </c>
    </row>
    <row r="147" spans="1:20" x14ac:dyDescent="0.3">
      <c r="A147" s="30" t="s">
        <v>71</v>
      </c>
      <c r="B147" s="30" t="s">
        <v>72</v>
      </c>
      <c r="C147" s="30" t="s">
        <v>257</v>
      </c>
      <c r="D147">
        <v>2025</v>
      </c>
      <c r="E147">
        <v>229</v>
      </c>
      <c r="F147" s="30" t="s">
        <v>77</v>
      </c>
      <c r="G147" s="30" t="s">
        <v>33</v>
      </c>
      <c r="H147" s="30" t="s">
        <v>50</v>
      </c>
      <c r="I147" s="2">
        <v>2089.84</v>
      </c>
      <c r="J147" s="2">
        <v>1954.77</v>
      </c>
      <c r="K147" s="2">
        <v>533.65219999999999</v>
      </c>
      <c r="L147" s="2">
        <v>156.38</v>
      </c>
      <c r="M147" s="2">
        <v>322</v>
      </c>
      <c r="N147" s="2">
        <v>0</v>
      </c>
      <c r="O147" s="2">
        <v>0</v>
      </c>
      <c r="P147" s="2">
        <v>0</v>
      </c>
      <c r="Q147" s="2">
        <v>3101.8721999999998</v>
      </c>
      <c r="R147" s="2">
        <v>18.84</v>
      </c>
      <c r="S147" s="2">
        <v>1849662.93</v>
      </c>
      <c r="T147" s="1">
        <v>1.6769932292474503E-3</v>
      </c>
    </row>
    <row r="148" spans="1:20" x14ac:dyDescent="0.3">
      <c r="A148" s="30" t="s">
        <v>71</v>
      </c>
      <c r="B148" s="30" t="s">
        <v>72</v>
      </c>
      <c r="C148" s="30" t="s">
        <v>257</v>
      </c>
      <c r="D148">
        <v>2025</v>
      </c>
      <c r="E148">
        <v>253</v>
      </c>
      <c r="F148" s="30" t="s">
        <v>262</v>
      </c>
      <c r="G148" s="30" t="s">
        <v>26</v>
      </c>
      <c r="H148" s="30" t="s">
        <v>60</v>
      </c>
      <c r="I148" s="2">
        <v>1478.77</v>
      </c>
      <c r="J148" s="2">
        <v>1477.15</v>
      </c>
      <c r="K148" s="2">
        <v>403.262</v>
      </c>
      <c r="L148" s="2">
        <v>118.17</v>
      </c>
      <c r="M148" s="2">
        <v>238</v>
      </c>
      <c r="N148" s="2">
        <v>0</v>
      </c>
      <c r="O148" s="2">
        <v>0</v>
      </c>
      <c r="P148" s="2">
        <v>0</v>
      </c>
      <c r="Q148" s="2">
        <v>2238.2020000000002</v>
      </c>
      <c r="R148" s="2">
        <v>30.44</v>
      </c>
      <c r="S148" s="2">
        <v>1849662.93</v>
      </c>
      <c r="T148" s="1">
        <v>1.2100593647081418E-3</v>
      </c>
    </row>
    <row r="149" spans="1:20" x14ac:dyDescent="0.3">
      <c r="A149" s="30" t="s">
        <v>71</v>
      </c>
      <c r="B149" s="30" t="s">
        <v>72</v>
      </c>
      <c r="C149" s="30" t="s">
        <v>257</v>
      </c>
      <c r="D149">
        <v>2025</v>
      </c>
      <c r="E149">
        <v>231</v>
      </c>
      <c r="F149" s="30" t="s">
        <v>78</v>
      </c>
      <c r="G149" s="30" t="s">
        <v>26</v>
      </c>
      <c r="H149" s="30" t="s">
        <v>60</v>
      </c>
      <c r="I149" s="2">
        <v>2022.95</v>
      </c>
      <c r="J149" s="2">
        <v>2020.71</v>
      </c>
      <c r="K149" s="2">
        <v>551.65380000000005</v>
      </c>
      <c r="L149" s="2">
        <v>161.65</v>
      </c>
      <c r="M149" s="2">
        <v>308</v>
      </c>
      <c r="N149" s="2">
        <v>0</v>
      </c>
      <c r="O149" s="2">
        <v>0</v>
      </c>
      <c r="P149" s="2">
        <v>0</v>
      </c>
      <c r="Q149" s="2">
        <v>3044.2538</v>
      </c>
      <c r="R149" s="2">
        <v>47.95</v>
      </c>
      <c r="S149" s="2">
        <v>1849662.93</v>
      </c>
      <c r="T149" s="1">
        <v>1.6458424833112699E-3</v>
      </c>
    </row>
    <row r="150" spans="1:20" x14ac:dyDescent="0.3">
      <c r="A150" s="30" t="s">
        <v>71</v>
      </c>
      <c r="B150" s="30" t="s">
        <v>72</v>
      </c>
      <c r="C150" s="30" t="s">
        <v>257</v>
      </c>
      <c r="D150">
        <v>2025</v>
      </c>
      <c r="E150">
        <v>244</v>
      </c>
      <c r="F150" s="30" t="s">
        <v>79</v>
      </c>
      <c r="G150" s="30" t="s">
        <v>29</v>
      </c>
      <c r="H150" s="30" t="s">
        <v>30</v>
      </c>
      <c r="I150" s="2">
        <v>829</v>
      </c>
      <c r="J150" s="2">
        <v>417.89</v>
      </c>
      <c r="K150" s="2">
        <v>114.084</v>
      </c>
      <c r="L150" s="2">
        <v>33.42</v>
      </c>
      <c r="M150" s="2">
        <v>98</v>
      </c>
      <c r="N150" s="2">
        <v>0</v>
      </c>
      <c r="O150" s="2">
        <v>0</v>
      </c>
      <c r="P150" s="2">
        <v>0</v>
      </c>
      <c r="Q150" s="2">
        <v>1074.5039999999999</v>
      </c>
      <c r="R150" s="2">
        <v>0</v>
      </c>
      <c r="S150" s="2">
        <v>1849662.93</v>
      </c>
      <c r="T150" s="1">
        <v>5.8091880016214632E-4</v>
      </c>
    </row>
    <row r="151" spans="1:20" x14ac:dyDescent="0.3">
      <c r="A151" s="30" t="s">
        <v>71</v>
      </c>
      <c r="B151" s="30" t="s">
        <v>72</v>
      </c>
      <c r="C151" s="30" t="s">
        <v>257</v>
      </c>
      <c r="D151">
        <v>2025</v>
      </c>
      <c r="E151">
        <v>12</v>
      </c>
      <c r="F151" s="30" t="s">
        <v>80</v>
      </c>
      <c r="G151" s="30" t="s">
        <v>26</v>
      </c>
      <c r="H151" s="30" t="s">
        <v>37</v>
      </c>
      <c r="I151" s="2">
        <v>2819.89</v>
      </c>
      <c r="J151" s="2">
        <v>2819.89</v>
      </c>
      <c r="K151" s="2">
        <v>769.83</v>
      </c>
      <c r="L151" s="2">
        <v>225.59</v>
      </c>
      <c r="M151" s="2">
        <v>364</v>
      </c>
      <c r="N151" s="2">
        <v>80</v>
      </c>
      <c r="O151" s="2">
        <v>122.84</v>
      </c>
      <c r="P151" s="2">
        <v>306.8</v>
      </c>
      <c r="Q151" s="2">
        <v>4688.95</v>
      </c>
      <c r="R151" s="2">
        <v>498.59</v>
      </c>
      <c r="S151" s="2">
        <v>1849662.93</v>
      </c>
      <c r="T151" s="1">
        <v>2.5350294337141738E-3</v>
      </c>
    </row>
    <row r="152" spans="1:20" x14ac:dyDescent="0.3">
      <c r="A152" s="30" t="s">
        <v>71</v>
      </c>
      <c r="B152" s="30" t="s">
        <v>72</v>
      </c>
      <c r="C152" s="30" t="s">
        <v>257</v>
      </c>
      <c r="D152">
        <v>2025</v>
      </c>
      <c r="E152">
        <v>13</v>
      </c>
      <c r="F152" s="30" t="s">
        <v>81</v>
      </c>
      <c r="G152" s="30" t="s">
        <v>42</v>
      </c>
      <c r="H152" s="30" t="s">
        <v>43</v>
      </c>
      <c r="I152" s="2">
        <v>2538.92</v>
      </c>
      <c r="J152" s="2">
        <v>2538.92</v>
      </c>
      <c r="K152" s="2">
        <v>693.12519999999995</v>
      </c>
      <c r="L152" s="2">
        <v>203.11</v>
      </c>
      <c r="M152" s="2">
        <v>350</v>
      </c>
      <c r="N152" s="2">
        <v>80</v>
      </c>
      <c r="O152" s="2">
        <v>122.84</v>
      </c>
      <c r="P152" s="2">
        <v>0</v>
      </c>
      <c r="Q152" s="2">
        <v>3987.9951999999998</v>
      </c>
      <c r="R152" s="2">
        <v>17.489999999999998</v>
      </c>
      <c r="S152" s="2">
        <v>1849662.93</v>
      </c>
      <c r="T152" s="1">
        <v>2.156065894665468E-3</v>
      </c>
    </row>
    <row r="153" spans="1:20" x14ac:dyDescent="0.3">
      <c r="A153" s="30" t="s">
        <v>71</v>
      </c>
      <c r="B153" s="30" t="s">
        <v>72</v>
      </c>
      <c r="C153" s="30" t="s">
        <v>257</v>
      </c>
      <c r="D153">
        <v>2025</v>
      </c>
      <c r="E153">
        <v>238</v>
      </c>
      <c r="F153" s="30" t="s">
        <v>82</v>
      </c>
      <c r="G153" s="30" t="s">
        <v>29</v>
      </c>
      <c r="H153" s="30" t="s">
        <v>30</v>
      </c>
      <c r="I153" s="2">
        <v>2389.9699999999998</v>
      </c>
      <c r="J153" s="2">
        <v>2389.9699999999998</v>
      </c>
      <c r="K153" s="2">
        <v>652.46180000000004</v>
      </c>
      <c r="L153" s="2">
        <v>191.19</v>
      </c>
      <c r="M153" s="2">
        <v>600</v>
      </c>
      <c r="N153" s="2">
        <v>80</v>
      </c>
      <c r="O153" s="2">
        <v>0</v>
      </c>
      <c r="P153" s="2">
        <v>0</v>
      </c>
      <c r="Q153" s="2">
        <v>3913.6217999999999</v>
      </c>
      <c r="R153" s="2">
        <v>168.97</v>
      </c>
      <c r="S153" s="2">
        <v>1849662.93</v>
      </c>
      <c r="T153" s="1">
        <v>2.1158567577499107E-3</v>
      </c>
    </row>
    <row r="154" spans="1:20" x14ac:dyDescent="0.3">
      <c r="A154" s="30" t="s">
        <v>71</v>
      </c>
      <c r="B154" s="30" t="s">
        <v>72</v>
      </c>
      <c r="C154" s="30" t="s">
        <v>257</v>
      </c>
      <c r="D154">
        <v>2025</v>
      </c>
      <c r="E154">
        <v>223</v>
      </c>
      <c r="F154" s="30" t="s">
        <v>83</v>
      </c>
      <c r="G154" s="30" t="s">
        <v>42</v>
      </c>
      <c r="H154" s="30" t="s">
        <v>84</v>
      </c>
      <c r="I154" s="2">
        <v>2119.38</v>
      </c>
      <c r="J154" s="2">
        <v>2089.75</v>
      </c>
      <c r="K154" s="2">
        <v>570.5018</v>
      </c>
      <c r="L154" s="2">
        <v>167.18</v>
      </c>
      <c r="M154" s="2">
        <v>350</v>
      </c>
      <c r="N154" s="2">
        <v>80</v>
      </c>
      <c r="O154" s="2">
        <v>122.84</v>
      </c>
      <c r="P154" s="2">
        <v>0</v>
      </c>
      <c r="Q154" s="2">
        <v>3409.9018000000001</v>
      </c>
      <c r="R154" s="2">
        <v>144.38</v>
      </c>
      <c r="S154" s="2">
        <v>1849662.93</v>
      </c>
      <c r="T154" s="1">
        <v>1.8435260255769952E-3</v>
      </c>
    </row>
    <row r="155" spans="1:20" x14ac:dyDescent="0.3">
      <c r="A155" s="30" t="s">
        <v>71</v>
      </c>
      <c r="B155" s="30" t="s">
        <v>72</v>
      </c>
      <c r="C155" s="30" t="s">
        <v>257</v>
      </c>
      <c r="D155">
        <v>2025</v>
      </c>
      <c r="E155">
        <v>179</v>
      </c>
      <c r="F155" s="30" t="s">
        <v>86</v>
      </c>
      <c r="G155" s="30" t="s">
        <v>26</v>
      </c>
      <c r="H155" s="30" t="s">
        <v>60</v>
      </c>
      <c r="I155" s="2">
        <v>2453.15</v>
      </c>
      <c r="J155" s="2">
        <v>2453.15</v>
      </c>
      <c r="K155" s="2">
        <v>669.71</v>
      </c>
      <c r="L155" s="2">
        <v>196.25</v>
      </c>
      <c r="M155" s="2">
        <v>350</v>
      </c>
      <c r="N155" s="2">
        <v>80</v>
      </c>
      <c r="O155" s="2">
        <v>0</v>
      </c>
      <c r="P155" s="2">
        <v>0</v>
      </c>
      <c r="Q155" s="2">
        <v>3749.11</v>
      </c>
      <c r="R155" s="2">
        <v>478.15</v>
      </c>
      <c r="S155" s="2">
        <v>1849662.93</v>
      </c>
      <c r="T155" s="1">
        <v>2.0269152228725262E-3</v>
      </c>
    </row>
    <row r="156" spans="1:20" x14ac:dyDescent="0.3">
      <c r="A156" s="30" t="s">
        <v>71</v>
      </c>
      <c r="B156" s="30" t="s">
        <v>72</v>
      </c>
      <c r="C156" s="30" t="s">
        <v>257</v>
      </c>
      <c r="D156">
        <v>2025</v>
      </c>
      <c r="E156">
        <v>204</v>
      </c>
      <c r="F156" s="30" t="s">
        <v>87</v>
      </c>
      <c r="G156" s="30" t="s">
        <v>29</v>
      </c>
      <c r="H156" s="30" t="s">
        <v>30</v>
      </c>
      <c r="I156" s="2">
        <v>2310.0100000000002</v>
      </c>
      <c r="J156" s="2">
        <v>2310.0100000000002</v>
      </c>
      <c r="K156" s="2">
        <v>630.6327</v>
      </c>
      <c r="L156" s="2">
        <v>184.8</v>
      </c>
      <c r="M156" s="2">
        <v>322</v>
      </c>
      <c r="N156" s="2">
        <v>0</v>
      </c>
      <c r="O156" s="2">
        <v>0</v>
      </c>
      <c r="P156" s="2">
        <v>0</v>
      </c>
      <c r="Q156" s="2">
        <v>3447.4427000000001</v>
      </c>
      <c r="R156" s="2">
        <v>89.01</v>
      </c>
      <c r="S156" s="2">
        <v>1849662.93</v>
      </c>
      <c r="T156" s="1">
        <v>1.8638221451516041E-3</v>
      </c>
    </row>
    <row r="157" spans="1:20" x14ac:dyDescent="0.3">
      <c r="A157" s="30" t="s">
        <v>71</v>
      </c>
      <c r="B157" s="30" t="s">
        <v>72</v>
      </c>
      <c r="C157" s="30" t="s">
        <v>257</v>
      </c>
      <c r="D157">
        <v>2025</v>
      </c>
      <c r="E157">
        <v>222</v>
      </c>
      <c r="F157" s="30" t="s">
        <v>88</v>
      </c>
      <c r="G157" s="30" t="s">
        <v>89</v>
      </c>
      <c r="H157" s="30" t="s">
        <v>50</v>
      </c>
      <c r="I157" s="2">
        <v>2002.91</v>
      </c>
      <c r="J157" s="2">
        <v>1810.38</v>
      </c>
      <c r="K157" s="2">
        <v>494.2337</v>
      </c>
      <c r="L157" s="2">
        <v>144.83000000000001</v>
      </c>
      <c r="M157" s="2">
        <v>336</v>
      </c>
      <c r="N157" s="2">
        <v>80</v>
      </c>
      <c r="O157" s="2">
        <v>0</v>
      </c>
      <c r="P157" s="2">
        <v>286.8</v>
      </c>
      <c r="Q157" s="2">
        <v>3344.7737000000002</v>
      </c>
      <c r="R157" s="2">
        <v>27.91</v>
      </c>
      <c r="S157" s="2">
        <v>1849662.93</v>
      </c>
      <c r="T157" s="1">
        <v>1.8083152804495037E-3</v>
      </c>
    </row>
    <row r="158" spans="1:20" x14ac:dyDescent="0.3">
      <c r="A158" s="30" t="s">
        <v>71</v>
      </c>
      <c r="B158" s="30" t="s">
        <v>72</v>
      </c>
      <c r="C158" s="30" t="s">
        <v>257</v>
      </c>
      <c r="D158">
        <v>2025</v>
      </c>
      <c r="E158">
        <v>252</v>
      </c>
      <c r="F158" s="30" t="s">
        <v>263</v>
      </c>
      <c r="G158" s="30" t="s">
        <v>39</v>
      </c>
      <c r="H158" s="30" t="s">
        <v>57</v>
      </c>
      <c r="I158" s="2">
        <v>1825.06</v>
      </c>
      <c r="J158" s="2">
        <v>1822.85</v>
      </c>
      <c r="K158" s="2">
        <v>497.63810000000001</v>
      </c>
      <c r="L158" s="2">
        <v>145.82</v>
      </c>
      <c r="M158" s="2">
        <v>412</v>
      </c>
      <c r="N158" s="2">
        <v>0</v>
      </c>
      <c r="O158" s="2">
        <v>0</v>
      </c>
      <c r="P158" s="2">
        <v>0</v>
      </c>
      <c r="Q158" s="2">
        <v>2880.518</v>
      </c>
      <c r="R158" s="2">
        <v>46.36</v>
      </c>
      <c r="S158" s="2">
        <v>1849662.93</v>
      </c>
      <c r="T158" s="1">
        <v>1.5573205275839091E-3</v>
      </c>
    </row>
    <row r="159" spans="1:20" x14ac:dyDescent="0.3">
      <c r="A159" s="30" t="s">
        <v>71</v>
      </c>
      <c r="B159" s="30" t="s">
        <v>72</v>
      </c>
      <c r="C159" s="30" t="s">
        <v>257</v>
      </c>
      <c r="D159">
        <v>2025</v>
      </c>
      <c r="E159">
        <v>254</v>
      </c>
      <c r="F159" s="30" t="s">
        <v>264</v>
      </c>
      <c r="G159" s="30" t="s">
        <v>89</v>
      </c>
      <c r="H159" s="30" t="s">
        <v>50</v>
      </c>
      <c r="I159" s="2">
        <v>1322.25</v>
      </c>
      <c r="J159" s="2">
        <v>1269.0999999999999</v>
      </c>
      <c r="K159" s="2">
        <v>346.46429999999998</v>
      </c>
      <c r="L159" s="2">
        <v>101.52</v>
      </c>
      <c r="M159" s="2">
        <v>224</v>
      </c>
      <c r="N159" s="2">
        <v>0</v>
      </c>
      <c r="O159" s="2">
        <v>0</v>
      </c>
      <c r="P159" s="2">
        <v>106.4</v>
      </c>
      <c r="Q159" s="2">
        <v>2100.6343000000002</v>
      </c>
      <c r="R159" s="2">
        <v>5.58</v>
      </c>
      <c r="S159" s="2">
        <v>1849662.93</v>
      </c>
      <c r="T159" s="1">
        <v>1.1356849217927505E-3</v>
      </c>
    </row>
    <row r="160" spans="1:20" x14ac:dyDescent="0.3">
      <c r="A160" s="30" t="s">
        <v>71</v>
      </c>
      <c r="B160" s="30" t="s">
        <v>72</v>
      </c>
      <c r="C160" s="30" t="s">
        <v>257</v>
      </c>
      <c r="D160">
        <v>2025</v>
      </c>
      <c r="E160">
        <v>216</v>
      </c>
      <c r="F160" s="30" t="s">
        <v>90</v>
      </c>
      <c r="G160" s="30" t="s">
        <v>39</v>
      </c>
      <c r="H160" s="30" t="s">
        <v>57</v>
      </c>
      <c r="I160" s="2">
        <v>2425.5</v>
      </c>
      <c r="J160" s="2">
        <v>2396.06</v>
      </c>
      <c r="K160" s="2">
        <v>654.12440000000004</v>
      </c>
      <c r="L160" s="2">
        <v>191.68</v>
      </c>
      <c r="M160" s="2">
        <v>350</v>
      </c>
      <c r="N160" s="2">
        <v>0</v>
      </c>
      <c r="O160" s="2">
        <v>0</v>
      </c>
      <c r="P160" s="2">
        <v>0</v>
      </c>
      <c r="Q160" s="2">
        <v>3621.3044</v>
      </c>
      <c r="R160" s="2">
        <v>0</v>
      </c>
      <c r="S160" s="2">
        <v>1849662.93</v>
      </c>
      <c r="T160" s="1">
        <v>1.9578185415653005E-3</v>
      </c>
    </row>
    <row r="161" spans="1:20" x14ac:dyDescent="0.3">
      <c r="A161" s="30" t="s">
        <v>71</v>
      </c>
      <c r="B161" s="30" t="s">
        <v>72</v>
      </c>
      <c r="C161" s="30" t="s">
        <v>257</v>
      </c>
      <c r="D161">
        <v>2025</v>
      </c>
      <c r="E161">
        <v>221</v>
      </c>
      <c r="F161" s="30" t="s">
        <v>91</v>
      </c>
      <c r="G161" s="30" t="s">
        <v>29</v>
      </c>
      <c r="H161" s="30" t="s">
        <v>30</v>
      </c>
      <c r="I161" s="2">
        <v>2256.38</v>
      </c>
      <c r="J161" s="2">
        <v>2256.38</v>
      </c>
      <c r="K161" s="2">
        <v>615.99170000000004</v>
      </c>
      <c r="L161" s="2">
        <v>180.51</v>
      </c>
      <c r="M161" s="2">
        <v>350</v>
      </c>
      <c r="N161" s="2">
        <v>80</v>
      </c>
      <c r="O161" s="2">
        <v>0</v>
      </c>
      <c r="P161" s="2">
        <v>0</v>
      </c>
      <c r="Q161" s="2">
        <v>3482.8816999999999</v>
      </c>
      <c r="R161" s="2">
        <v>35.380000000000003</v>
      </c>
      <c r="S161" s="2">
        <v>1849662.93</v>
      </c>
      <c r="T161" s="1">
        <v>1.8829818576728463E-3</v>
      </c>
    </row>
    <row r="162" spans="1:20" x14ac:dyDescent="0.3">
      <c r="A162" s="30" t="s">
        <v>71</v>
      </c>
      <c r="B162" s="30" t="s">
        <v>72</v>
      </c>
      <c r="C162" s="30" t="s">
        <v>257</v>
      </c>
      <c r="D162">
        <v>2025</v>
      </c>
      <c r="E162">
        <v>132</v>
      </c>
      <c r="F162" s="30" t="s">
        <v>93</v>
      </c>
      <c r="G162" s="30" t="s">
        <v>33</v>
      </c>
      <c r="H162" s="30" t="s">
        <v>94</v>
      </c>
      <c r="I162" s="2">
        <v>2392.77</v>
      </c>
      <c r="J162" s="2">
        <v>2359.5</v>
      </c>
      <c r="K162" s="2">
        <v>644.14350000000002</v>
      </c>
      <c r="L162" s="2">
        <v>188.76</v>
      </c>
      <c r="M162" s="2">
        <v>210</v>
      </c>
      <c r="N162" s="2">
        <v>0</v>
      </c>
      <c r="O162" s="2">
        <v>0</v>
      </c>
      <c r="P162" s="2">
        <v>0</v>
      </c>
      <c r="Q162" s="2">
        <v>3435.6734999999999</v>
      </c>
      <c r="R162" s="2">
        <v>0</v>
      </c>
      <c r="S162" s="2">
        <v>1849662.93</v>
      </c>
      <c r="T162" s="1">
        <v>1.8574592398843176E-3</v>
      </c>
    </row>
    <row r="163" spans="1:20" x14ac:dyDescent="0.3">
      <c r="A163" s="30" t="s">
        <v>71</v>
      </c>
      <c r="B163" s="30" t="s">
        <v>72</v>
      </c>
      <c r="C163" s="30" t="s">
        <v>257</v>
      </c>
      <c r="D163">
        <v>2025</v>
      </c>
      <c r="E163">
        <v>194</v>
      </c>
      <c r="F163" s="30" t="s">
        <v>95</v>
      </c>
      <c r="G163" s="30" t="s">
        <v>29</v>
      </c>
      <c r="H163" s="30" t="s">
        <v>30</v>
      </c>
      <c r="I163" s="2">
        <v>2277.21</v>
      </c>
      <c r="J163" s="2">
        <v>2277.21</v>
      </c>
      <c r="K163" s="2">
        <v>621.67830000000004</v>
      </c>
      <c r="L163" s="2">
        <v>182.17</v>
      </c>
      <c r="M163" s="2">
        <v>450</v>
      </c>
      <c r="N163" s="2">
        <v>80</v>
      </c>
      <c r="O163" s="2">
        <v>0</v>
      </c>
      <c r="P163" s="2">
        <v>306.8</v>
      </c>
      <c r="Q163" s="2">
        <v>3917.8582999999999</v>
      </c>
      <c r="R163" s="2">
        <v>56.21</v>
      </c>
      <c r="S163" s="2">
        <v>1849662.93</v>
      </c>
      <c r="T163" s="1">
        <v>2.1181471858767262E-3</v>
      </c>
    </row>
    <row r="164" spans="1:20" x14ac:dyDescent="0.3">
      <c r="A164" s="30" t="s">
        <v>71</v>
      </c>
      <c r="B164" s="30" t="s">
        <v>72</v>
      </c>
      <c r="C164" s="30" t="s">
        <v>257</v>
      </c>
      <c r="D164">
        <v>2025</v>
      </c>
      <c r="E164">
        <v>228</v>
      </c>
      <c r="F164" s="30" t="s">
        <v>97</v>
      </c>
      <c r="G164" s="30" t="s">
        <v>33</v>
      </c>
      <c r="H164" s="30" t="s">
        <v>64</v>
      </c>
      <c r="I164" s="2">
        <v>831.7</v>
      </c>
      <c r="J164" s="2">
        <v>0</v>
      </c>
      <c r="K164" s="2">
        <v>0</v>
      </c>
      <c r="L164" s="2">
        <v>0</v>
      </c>
      <c r="M164" s="2">
        <v>0</v>
      </c>
      <c r="N164" s="2">
        <v>80</v>
      </c>
      <c r="O164" s="2">
        <v>0</v>
      </c>
      <c r="P164" s="2">
        <v>306.8</v>
      </c>
      <c r="Q164" s="2">
        <v>1218.5</v>
      </c>
      <c r="R164" s="2">
        <v>0</v>
      </c>
      <c r="S164" s="2">
        <v>1849662.93</v>
      </c>
      <c r="T164" s="1">
        <v>6.5876867630147078E-4</v>
      </c>
    </row>
    <row r="165" spans="1:20" x14ac:dyDescent="0.3">
      <c r="A165" s="30" t="s">
        <v>71</v>
      </c>
      <c r="B165" s="30" t="s">
        <v>72</v>
      </c>
      <c r="C165" s="30" t="s">
        <v>257</v>
      </c>
      <c r="D165">
        <v>2025</v>
      </c>
      <c r="E165">
        <v>246</v>
      </c>
      <c r="F165" s="30" t="s">
        <v>98</v>
      </c>
      <c r="G165" s="30" t="s">
        <v>29</v>
      </c>
      <c r="H165" s="30" t="s">
        <v>30</v>
      </c>
      <c r="I165" s="2">
        <v>2230.59</v>
      </c>
      <c r="J165" s="2">
        <v>2230.59</v>
      </c>
      <c r="K165" s="2">
        <v>608.9511</v>
      </c>
      <c r="L165" s="2">
        <v>178.44</v>
      </c>
      <c r="M165" s="2">
        <v>450</v>
      </c>
      <c r="N165" s="2">
        <v>80</v>
      </c>
      <c r="O165" s="2">
        <v>0</v>
      </c>
      <c r="P165" s="2">
        <v>0</v>
      </c>
      <c r="Q165" s="2">
        <v>3547.9811</v>
      </c>
      <c r="R165" s="2">
        <v>9.59</v>
      </c>
      <c r="S165" s="2">
        <v>1849662.93</v>
      </c>
      <c r="T165" s="1">
        <v>1.9181770972725289E-3</v>
      </c>
    </row>
    <row r="166" spans="1:20" x14ac:dyDescent="0.3">
      <c r="A166" s="30" t="s">
        <v>71</v>
      </c>
      <c r="B166" s="30" t="s">
        <v>72</v>
      </c>
      <c r="C166" s="30" t="s">
        <v>257</v>
      </c>
      <c r="D166">
        <v>2025</v>
      </c>
      <c r="E166">
        <v>165</v>
      </c>
      <c r="F166" s="30" t="s">
        <v>100</v>
      </c>
      <c r="G166" s="30" t="s">
        <v>26</v>
      </c>
      <c r="H166" s="30" t="s">
        <v>60</v>
      </c>
      <c r="I166" s="2">
        <v>3298.16</v>
      </c>
      <c r="J166" s="2">
        <v>2843.65</v>
      </c>
      <c r="K166" s="2">
        <v>776.31650000000002</v>
      </c>
      <c r="L166" s="2">
        <v>227.49</v>
      </c>
      <c r="M166" s="2">
        <v>266</v>
      </c>
      <c r="N166" s="2">
        <v>0</v>
      </c>
      <c r="O166" s="2">
        <v>0</v>
      </c>
      <c r="P166" s="2">
        <v>0</v>
      </c>
      <c r="Q166" s="2">
        <v>4567.9664000000002</v>
      </c>
      <c r="R166" s="2">
        <v>7.18</v>
      </c>
      <c r="S166" s="2">
        <v>1849662.93</v>
      </c>
      <c r="T166" s="1">
        <v>2.4696210190037165E-3</v>
      </c>
    </row>
    <row r="167" spans="1:20" x14ac:dyDescent="0.3">
      <c r="A167" s="30" t="s">
        <v>71</v>
      </c>
      <c r="B167" s="30" t="s">
        <v>72</v>
      </c>
      <c r="C167" s="30" t="s">
        <v>257</v>
      </c>
      <c r="D167">
        <v>2025</v>
      </c>
      <c r="E167">
        <v>210</v>
      </c>
      <c r="F167" s="30" t="s">
        <v>101</v>
      </c>
      <c r="G167" s="30" t="s">
        <v>89</v>
      </c>
      <c r="H167" s="30" t="s">
        <v>34</v>
      </c>
      <c r="I167" s="2">
        <v>2132.64</v>
      </c>
      <c r="J167" s="2">
        <v>2121.9699999999998</v>
      </c>
      <c r="K167" s="2">
        <v>579.29780000000005</v>
      </c>
      <c r="L167" s="2">
        <v>169.75</v>
      </c>
      <c r="M167" s="2">
        <v>350</v>
      </c>
      <c r="N167" s="2">
        <v>80</v>
      </c>
      <c r="O167" s="2">
        <v>0</v>
      </c>
      <c r="P167" s="2">
        <v>306.8</v>
      </c>
      <c r="Q167" s="2">
        <v>3618.4877999999999</v>
      </c>
      <c r="R167" s="2">
        <v>54.43</v>
      </c>
      <c r="S167" s="2">
        <v>1849662.93</v>
      </c>
      <c r="T167" s="1">
        <v>1.9562957938503963E-3</v>
      </c>
    </row>
    <row r="168" spans="1:20" x14ac:dyDescent="0.3">
      <c r="A168" s="30" t="s">
        <v>71</v>
      </c>
      <c r="B168" s="30" t="s">
        <v>72</v>
      </c>
      <c r="C168" s="30" t="s">
        <v>257</v>
      </c>
      <c r="D168">
        <v>2025</v>
      </c>
      <c r="E168">
        <v>167</v>
      </c>
      <c r="F168" s="30" t="s">
        <v>102</v>
      </c>
      <c r="G168" s="30" t="s">
        <v>26</v>
      </c>
      <c r="H168" s="30" t="s">
        <v>60</v>
      </c>
      <c r="I168" s="2">
        <v>2354.86</v>
      </c>
      <c r="J168" s="2">
        <v>2354.86</v>
      </c>
      <c r="K168" s="2">
        <v>642.8768</v>
      </c>
      <c r="L168" s="2">
        <v>188.38</v>
      </c>
      <c r="M168" s="2">
        <v>336</v>
      </c>
      <c r="N168" s="2">
        <v>0</v>
      </c>
      <c r="O168" s="2">
        <v>0</v>
      </c>
      <c r="P168" s="2">
        <v>0</v>
      </c>
      <c r="Q168" s="2">
        <v>3522.1167999999998</v>
      </c>
      <c r="R168" s="2">
        <v>379.86</v>
      </c>
      <c r="S168" s="2">
        <v>1849662.93</v>
      </c>
      <c r="T168" s="1">
        <v>1.9041938522279844E-3</v>
      </c>
    </row>
    <row r="169" spans="1:20" x14ac:dyDescent="0.3">
      <c r="A169" s="30" t="s">
        <v>71</v>
      </c>
      <c r="B169" s="30" t="s">
        <v>72</v>
      </c>
      <c r="C169" s="30" t="s">
        <v>257</v>
      </c>
      <c r="D169">
        <v>2025</v>
      </c>
      <c r="E169">
        <v>224</v>
      </c>
      <c r="F169" s="30" t="s">
        <v>103</v>
      </c>
      <c r="G169" s="30" t="s">
        <v>29</v>
      </c>
      <c r="H169" s="30" t="s">
        <v>30</v>
      </c>
      <c r="I169" s="2">
        <v>2245.87</v>
      </c>
      <c r="J169" s="2">
        <v>2245.87</v>
      </c>
      <c r="K169" s="2">
        <v>613.12249999999995</v>
      </c>
      <c r="L169" s="2">
        <v>179.66</v>
      </c>
      <c r="M169" s="2">
        <v>322</v>
      </c>
      <c r="N169" s="2">
        <v>0</v>
      </c>
      <c r="O169" s="2">
        <v>0</v>
      </c>
      <c r="P169" s="2">
        <v>0</v>
      </c>
      <c r="Q169" s="2">
        <v>3360.6525000000001</v>
      </c>
      <c r="R169" s="2">
        <v>24.87</v>
      </c>
      <c r="S169" s="2">
        <v>1849662.93</v>
      </c>
      <c r="T169" s="1">
        <v>1.8168999634976736E-3</v>
      </c>
    </row>
    <row r="170" spans="1:20" x14ac:dyDescent="0.3">
      <c r="A170" s="30" t="s">
        <v>71</v>
      </c>
      <c r="B170" s="30" t="s">
        <v>72</v>
      </c>
      <c r="C170" s="30" t="s">
        <v>257</v>
      </c>
      <c r="D170">
        <v>2025</v>
      </c>
      <c r="E170">
        <v>236</v>
      </c>
      <c r="F170" s="30" t="s">
        <v>104</v>
      </c>
      <c r="G170" s="30" t="s">
        <v>39</v>
      </c>
      <c r="H170" s="30" t="s">
        <v>55</v>
      </c>
      <c r="I170" s="2">
        <v>2520.15</v>
      </c>
      <c r="J170" s="2">
        <v>2341.14</v>
      </c>
      <c r="K170" s="2">
        <v>639.13120000000004</v>
      </c>
      <c r="L170" s="2">
        <v>187.29</v>
      </c>
      <c r="M170" s="2">
        <v>572</v>
      </c>
      <c r="N170" s="2">
        <v>0</v>
      </c>
      <c r="O170" s="2">
        <v>0</v>
      </c>
      <c r="P170" s="2">
        <v>0</v>
      </c>
      <c r="Q170" s="2">
        <v>3918.5711999999999</v>
      </c>
      <c r="R170" s="2">
        <v>94.65</v>
      </c>
      <c r="S170" s="2">
        <v>1849662.93</v>
      </c>
      <c r="T170" s="1">
        <v>2.1185326020454979E-3</v>
      </c>
    </row>
    <row r="171" spans="1:20" x14ac:dyDescent="0.3">
      <c r="A171" s="30" t="s">
        <v>71</v>
      </c>
      <c r="B171" s="30" t="s">
        <v>72</v>
      </c>
      <c r="C171" s="30" t="s">
        <v>257</v>
      </c>
      <c r="D171">
        <v>2025</v>
      </c>
      <c r="E171">
        <v>250</v>
      </c>
      <c r="F171" s="30" t="s">
        <v>105</v>
      </c>
      <c r="G171" s="30" t="s">
        <v>33</v>
      </c>
      <c r="H171" s="30" t="s">
        <v>50</v>
      </c>
      <c r="I171" s="2">
        <v>1980.65</v>
      </c>
      <c r="J171" s="2">
        <v>1698.91</v>
      </c>
      <c r="K171" s="2">
        <v>463.80239999999998</v>
      </c>
      <c r="L171" s="2">
        <v>135.91</v>
      </c>
      <c r="M171" s="2">
        <v>476</v>
      </c>
      <c r="N171" s="2">
        <v>80</v>
      </c>
      <c r="O171" s="2">
        <v>0</v>
      </c>
      <c r="P171" s="2">
        <v>274.39999999999998</v>
      </c>
      <c r="Q171" s="2">
        <v>3410.7624000000001</v>
      </c>
      <c r="R171" s="2">
        <v>5.65</v>
      </c>
      <c r="S171" s="2">
        <v>1849662.93</v>
      </c>
      <c r="T171" s="1">
        <v>1.8439913427902241E-3</v>
      </c>
    </row>
    <row r="172" spans="1:20" x14ac:dyDescent="0.3">
      <c r="A172" s="30" t="s">
        <v>71</v>
      </c>
      <c r="B172" s="30" t="s">
        <v>72</v>
      </c>
      <c r="C172" s="30" t="s">
        <v>257</v>
      </c>
      <c r="D172">
        <v>2025</v>
      </c>
      <c r="E172">
        <v>205</v>
      </c>
      <c r="F172" s="30" t="s">
        <v>106</v>
      </c>
      <c r="G172" s="30" t="s">
        <v>33</v>
      </c>
      <c r="H172" s="30" t="s">
        <v>50</v>
      </c>
      <c r="I172" s="2">
        <v>2071</v>
      </c>
      <c r="J172" s="2">
        <v>1944.42</v>
      </c>
      <c r="K172" s="2">
        <v>530.82669999999996</v>
      </c>
      <c r="L172" s="2">
        <v>155.55000000000001</v>
      </c>
      <c r="M172" s="2">
        <v>350</v>
      </c>
      <c r="N172" s="2">
        <v>0</v>
      </c>
      <c r="O172" s="2">
        <v>0</v>
      </c>
      <c r="P172" s="2">
        <v>0</v>
      </c>
      <c r="Q172" s="2">
        <v>3107.3766999999998</v>
      </c>
      <c r="R172" s="2">
        <v>0</v>
      </c>
      <c r="S172" s="2">
        <v>1849662.93</v>
      </c>
      <c r="T172" s="1">
        <v>1.6799691498385601E-3</v>
      </c>
    </row>
    <row r="173" spans="1:20" x14ac:dyDescent="0.3">
      <c r="A173" s="30" t="s">
        <v>71</v>
      </c>
      <c r="B173" s="30" t="s">
        <v>72</v>
      </c>
      <c r="C173" s="30" t="s">
        <v>257</v>
      </c>
      <c r="D173">
        <v>2025</v>
      </c>
      <c r="E173">
        <v>255</v>
      </c>
      <c r="F173" s="30" t="s">
        <v>265</v>
      </c>
      <c r="G173" s="30" t="s">
        <v>29</v>
      </c>
      <c r="H173" s="30" t="s">
        <v>30</v>
      </c>
      <c r="I173" s="2">
        <v>1336.31</v>
      </c>
      <c r="J173" s="2">
        <v>1336.31</v>
      </c>
      <c r="K173" s="2">
        <v>364.81259999999997</v>
      </c>
      <c r="L173" s="2">
        <v>106.9</v>
      </c>
      <c r="M173" s="2">
        <v>210</v>
      </c>
      <c r="N173" s="2">
        <v>0</v>
      </c>
      <c r="O173" s="2">
        <v>0</v>
      </c>
      <c r="P173" s="2">
        <v>0</v>
      </c>
      <c r="Q173" s="2">
        <v>2018.0226</v>
      </c>
      <c r="R173" s="2">
        <v>3.71</v>
      </c>
      <c r="S173" s="2">
        <v>1849662.93</v>
      </c>
      <c r="T173" s="1">
        <v>1.0910218274201992E-3</v>
      </c>
    </row>
    <row r="174" spans="1:20" x14ac:dyDescent="0.3">
      <c r="A174" s="30" t="s">
        <v>71</v>
      </c>
      <c r="B174" s="30" t="s">
        <v>72</v>
      </c>
      <c r="C174" s="30" t="s">
        <v>257</v>
      </c>
      <c r="D174">
        <v>2025</v>
      </c>
      <c r="E174">
        <v>215</v>
      </c>
      <c r="F174" s="30" t="s">
        <v>108</v>
      </c>
      <c r="G174" s="30" t="s">
        <v>29</v>
      </c>
      <c r="H174" s="30" t="s">
        <v>30</v>
      </c>
      <c r="I174" s="2">
        <v>3449.94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3449.94</v>
      </c>
      <c r="R174" s="2">
        <v>0</v>
      </c>
      <c r="S174" s="2">
        <v>1849662.93</v>
      </c>
      <c r="T174" s="1">
        <v>1.865172266819447E-3</v>
      </c>
    </row>
    <row r="175" spans="1:20" x14ac:dyDescent="0.3">
      <c r="A175" s="30" t="s">
        <v>71</v>
      </c>
      <c r="B175" s="30" t="s">
        <v>72</v>
      </c>
      <c r="C175" s="30" t="s">
        <v>257</v>
      </c>
      <c r="D175">
        <v>2025</v>
      </c>
      <c r="E175">
        <v>240</v>
      </c>
      <c r="F175" s="30" t="s">
        <v>109</v>
      </c>
      <c r="G175" s="30" t="s">
        <v>29</v>
      </c>
      <c r="H175" s="30" t="s">
        <v>30</v>
      </c>
      <c r="I175" s="2">
        <v>2225.0500000000002</v>
      </c>
      <c r="J175" s="2">
        <v>2225.0500000000002</v>
      </c>
      <c r="K175" s="2">
        <v>607.43870000000004</v>
      </c>
      <c r="L175" s="2">
        <v>178</v>
      </c>
      <c r="M175" s="2">
        <v>350</v>
      </c>
      <c r="N175" s="2">
        <v>80</v>
      </c>
      <c r="O175" s="2">
        <v>0</v>
      </c>
      <c r="P175" s="2">
        <v>0</v>
      </c>
      <c r="Q175" s="2">
        <v>3440.4886999999999</v>
      </c>
      <c r="R175" s="2">
        <v>4.05</v>
      </c>
      <c r="S175" s="2">
        <v>1849662.93</v>
      </c>
      <c r="T175" s="1">
        <v>1.860062497981727E-3</v>
      </c>
    </row>
    <row r="176" spans="1:20" x14ac:dyDescent="0.3">
      <c r="A176" s="30" t="s">
        <v>71</v>
      </c>
      <c r="B176" s="30" t="s">
        <v>72</v>
      </c>
      <c r="C176" s="30" t="s">
        <v>257</v>
      </c>
      <c r="D176">
        <v>2025</v>
      </c>
      <c r="E176">
        <v>123</v>
      </c>
      <c r="F176" s="30" t="s">
        <v>110</v>
      </c>
      <c r="G176" s="30" t="s">
        <v>29</v>
      </c>
      <c r="H176" s="30" t="s">
        <v>111</v>
      </c>
      <c r="I176" s="2">
        <v>2486.7600000000002</v>
      </c>
      <c r="J176" s="2">
        <v>2477.79</v>
      </c>
      <c r="K176" s="2">
        <v>676.43669999999997</v>
      </c>
      <c r="L176" s="2">
        <v>198.22</v>
      </c>
      <c r="M176" s="2">
        <v>400</v>
      </c>
      <c r="N176" s="2">
        <v>0</v>
      </c>
      <c r="O176" s="2">
        <v>0</v>
      </c>
      <c r="P176" s="2">
        <v>0</v>
      </c>
      <c r="Q176" s="2">
        <v>3761.4167000000002</v>
      </c>
      <c r="R176" s="2">
        <v>165.46</v>
      </c>
      <c r="S176" s="2">
        <v>1849662.93</v>
      </c>
      <c r="T176" s="1">
        <v>2.0335687162200957E-3</v>
      </c>
    </row>
    <row r="177" spans="1:20" x14ac:dyDescent="0.3">
      <c r="A177" s="30" t="s">
        <v>71</v>
      </c>
      <c r="B177" s="30" t="s">
        <v>72</v>
      </c>
      <c r="C177" s="30" t="s">
        <v>257</v>
      </c>
      <c r="D177">
        <v>2025</v>
      </c>
      <c r="E177">
        <v>152</v>
      </c>
      <c r="F177" s="30" t="s">
        <v>112</v>
      </c>
      <c r="G177" s="30" t="s">
        <v>29</v>
      </c>
      <c r="H177" s="30" t="s">
        <v>30</v>
      </c>
      <c r="I177" s="2">
        <v>2221</v>
      </c>
      <c r="J177" s="2">
        <v>2157.25</v>
      </c>
      <c r="K177" s="2">
        <v>588.92930000000001</v>
      </c>
      <c r="L177" s="2">
        <v>172.58</v>
      </c>
      <c r="M177" s="2">
        <v>238</v>
      </c>
      <c r="N177" s="2">
        <v>0</v>
      </c>
      <c r="O177" s="2">
        <v>0</v>
      </c>
      <c r="P177" s="2">
        <v>136.80000000000001</v>
      </c>
      <c r="Q177" s="2">
        <v>3357.3092999999999</v>
      </c>
      <c r="R177" s="2">
        <v>0</v>
      </c>
      <c r="S177" s="2">
        <v>1849662.93</v>
      </c>
      <c r="T177" s="1">
        <v>1.8150924666041723E-3</v>
      </c>
    </row>
    <row r="178" spans="1:20" x14ac:dyDescent="0.3">
      <c r="A178" s="30" t="s">
        <v>71</v>
      </c>
      <c r="B178" s="30" t="s">
        <v>72</v>
      </c>
      <c r="C178" s="30" t="s">
        <v>257</v>
      </c>
      <c r="D178">
        <v>2025</v>
      </c>
      <c r="E178">
        <v>247</v>
      </c>
      <c r="F178" s="30" t="s">
        <v>113</v>
      </c>
      <c r="G178" s="30" t="s">
        <v>29</v>
      </c>
      <c r="H178" s="30" t="s">
        <v>30</v>
      </c>
      <c r="I178" s="2">
        <v>2250.4899999999998</v>
      </c>
      <c r="J178" s="2">
        <v>2248.27</v>
      </c>
      <c r="K178" s="2">
        <v>613.77769999999998</v>
      </c>
      <c r="L178" s="2">
        <v>179.86</v>
      </c>
      <c r="M178" s="2">
        <v>450</v>
      </c>
      <c r="N178" s="2">
        <v>80</v>
      </c>
      <c r="O178" s="2">
        <v>0</v>
      </c>
      <c r="P178" s="2">
        <v>0</v>
      </c>
      <c r="Q178" s="2">
        <v>3574.1277</v>
      </c>
      <c r="R178" s="2">
        <v>29.49</v>
      </c>
      <c r="S178" s="2">
        <v>1849662.93</v>
      </c>
      <c r="T178" s="1">
        <v>1.9323129917514213E-3</v>
      </c>
    </row>
    <row r="179" spans="1:20" x14ac:dyDescent="0.3">
      <c r="A179" s="30" t="s">
        <v>71</v>
      </c>
      <c r="B179" s="30" t="s">
        <v>72</v>
      </c>
      <c r="C179" s="30" t="s">
        <v>257</v>
      </c>
      <c r="D179">
        <v>2025</v>
      </c>
      <c r="E179">
        <v>249</v>
      </c>
      <c r="F179" s="30" t="s">
        <v>114</v>
      </c>
      <c r="G179" s="30" t="s">
        <v>39</v>
      </c>
      <c r="H179" s="30" t="s">
        <v>57</v>
      </c>
      <c r="I179" s="2">
        <v>2543.91</v>
      </c>
      <c r="J179" s="2">
        <v>2271.41</v>
      </c>
      <c r="K179" s="2">
        <v>620.09490000000005</v>
      </c>
      <c r="L179" s="2">
        <v>181.71</v>
      </c>
      <c r="M179" s="2">
        <v>642</v>
      </c>
      <c r="N179" s="2">
        <v>0</v>
      </c>
      <c r="O179" s="2">
        <v>0</v>
      </c>
      <c r="P179" s="2">
        <v>0</v>
      </c>
      <c r="Q179" s="2">
        <v>3987.7148999999999</v>
      </c>
      <c r="R179" s="2">
        <v>118.41</v>
      </c>
      <c r="S179" s="2">
        <v>1849662.93</v>
      </c>
      <c r="T179" s="1">
        <v>2.1559143913858943E-3</v>
      </c>
    </row>
    <row r="180" spans="1:20" x14ac:dyDescent="0.3">
      <c r="A180" s="30" t="s">
        <v>71</v>
      </c>
      <c r="B180" s="30" t="s">
        <v>72</v>
      </c>
      <c r="C180" s="30" t="s">
        <v>257</v>
      </c>
      <c r="D180">
        <v>2025</v>
      </c>
      <c r="E180">
        <v>248</v>
      </c>
      <c r="F180" s="30" t="s">
        <v>115</v>
      </c>
      <c r="G180" s="30" t="s">
        <v>33</v>
      </c>
      <c r="H180" s="30" t="s">
        <v>50</v>
      </c>
      <c r="I180" s="2">
        <v>1987.33</v>
      </c>
      <c r="J180" s="2">
        <v>1972.79</v>
      </c>
      <c r="K180" s="2">
        <v>538.57169999999996</v>
      </c>
      <c r="L180" s="2">
        <v>157.82</v>
      </c>
      <c r="M180" s="2">
        <v>518</v>
      </c>
      <c r="N180" s="2">
        <v>80</v>
      </c>
      <c r="O180" s="2">
        <v>0</v>
      </c>
      <c r="P180" s="2">
        <v>206.8</v>
      </c>
      <c r="Q180" s="2">
        <v>3488.5216999999998</v>
      </c>
      <c r="R180" s="2">
        <v>12.33</v>
      </c>
      <c r="S180" s="2">
        <v>1849662.93</v>
      </c>
      <c r="T180" s="1">
        <v>1.8860310240417697E-3</v>
      </c>
    </row>
    <row r="181" spans="1:20" x14ac:dyDescent="0.3">
      <c r="A181" s="30" t="s">
        <v>71</v>
      </c>
      <c r="B181" s="30" t="s">
        <v>72</v>
      </c>
      <c r="C181" s="30" t="s">
        <v>257</v>
      </c>
      <c r="D181">
        <v>2025</v>
      </c>
      <c r="E181">
        <v>2005</v>
      </c>
      <c r="F181" s="30" t="s">
        <v>116</v>
      </c>
      <c r="G181" s="30" t="s">
        <v>33</v>
      </c>
      <c r="H181" s="30" t="s">
        <v>64</v>
      </c>
      <c r="I181" s="2">
        <v>926.05</v>
      </c>
      <c r="J181" s="2">
        <v>0</v>
      </c>
      <c r="K181" s="2">
        <v>0</v>
      </c>
      <c r="L181" s="2">
        <v>0</v>
      </c>
      <c r="M181" s="2">
        <v>0</v>
      </c>
      <c r="N181" s="2">
        <v>80</v>
      </c>
      <c r="O181" s="2">
        <v>0</v>
      </c>
      <c r="P181" s="2">
        <v>296.39999999999998</v>
      </c>
      <c r="Q181" s="2">
        <v>1302.45</v>
      </c>
      <c r="R181" s="2">
        <v>0</v>
      </c>
      <c r="S181" s="2">
        <v>1849662.93</v>
      </c>
      <c r="T181" s="1">
        <v>7.0415532412708296E-4</v>
      </c>
    </row>
    <row r="182" spans="1:20" x14ac:dyDescent="0.3">
      <c r="A182" s="30" t="s">
        <v>71</v>
      </c>
      <c r="B182" s="30" t="s">
        <v>72</v>
      </c>
      <c r="C182" s="30" t="s">
        <v>257</v>
      </c>
      <c r="D182">
        <v>2025</v>
      </c>
      <c r="E182">
        <v>2006</v>
      </c>
      <c r="F182" s="30" t="s">
        <v>117</v>
      </c>
      <c r="G182" s="30" t="s">
        <v>33</v>
      </c>
      <c r="H182" s="30" t="s">
        <v>64</v>
      </c>
      <c r="I182" s="2">
        <v>843.42</v>
      </c>
      <c r="J182" s="2">
        <v>0</v>
      </c>
      <c r="K182" s="2">
        <v>0</v>
      </c>
      <c r="L182" s="2">
        <v>0</v>
      </c>
      <c r="M182" s="2">
        <v>0</v>
      </c>
      <c r="N182" s="2">
        <v>80</v>
      </c>
      <c r="O182" s="2">
        <v>0</v>
      </c>
      <c r="P182" s="2">
        <v>306.8</v>
      </c>
      <c r="Q182" s="2">
        <v>1230.22</v>
      </c>
      <c r="R182" s="2">
        <v>0</v>
      </c>
      <c r="S182" s="2">
        <v>1849662.93</v>
      </c>
      <c r="T182" s="1">
        <v>6.6510496590857233E-4</v>
      </c>
    </row>
    <row r="183" spans="1:20" x14ac:dyDescent="0.3">
      <c r="A183" s="30" t="s">
        <v>71</v>
      </c>
      <c r="B183" s="30" t="s">
        <v>72</v>
      </c>
      <c r="C183" s="30" t="s">
        <v>273</v>
      </c>
      <c r="D183">
        <v>2025</v>
      </c>
      <c r="E183">
        <v>259</v>
      </c>
      <c r="F183" s="30" t="s">
        <v>279</v>
      </c>
      <c r="G183" s="30" t="s">
        <v>29</v>
      </c>
      <c r="H183" s="30" t="s">
        <v>30</v>
      </c>
      <c r="I183" s="2">
        <v>161.66999999999999</v>
      </c>
      <c r="J183" s="2">
        <v>161.66999999999999</v>
      </c>
      <c r="K183" s="2">
        <v>44.135899999999999</v>
      </c>
      <c r="L183" s="2">
        <v>12.93</v>
      </c>
      <c r="Q183" s="2">
        <v>218.73589999999999</v>
      </c>
      <c r="R183" s="2">
        <v>13.6</v>
      </c>
      <c r="S183" s="2">
        <v>1812293.64</v>
      </c>
      <c r="T183" s="1">
        <v>1.2069562303380372E-4</v>
      </c>
    </row>
    <row r="184" spans="1:20" x14ac:dyDescent="0.3">
      <c r="A184" s="30" t="s">
        <v>71</v>
      </c>
      <c r="B184" s="30" t="s">
        <v>72</v>
      </c>
      <c r="C184" s="30" t="s">
        <v>273</v>
      </c>
      <c r="D184">
        <v>2025</v>
      </c>
      <c r="E184">
        <v>151</v>
      </c>
      <c r="F184" s="30" t="s">
        <v>73</v>
      </c>
      <c r="G184" s="30" t="s">
        <v>33</v>
      </c>
      <c r="H184" s="30" t="s">
        <v>50</v>
      </c>
      <c r="I184" s="2">
        <v>2469.1999999999998</v>
      </c>
      <c r="J184" s="2">
        <v>2440.11</v>
      </c>
      <c r="K184" s="2">
        <v>666.15</v>
      </c>
      <c r="L184" s="2">
        <v>195.2</v>
      </c>
      <c r="M184" s="2">
        <v>336</v>
      </c>
      <c r="P184" s="2">
        <v>284.60000000000002</v>
      </c>
      <c r="Q184" s="2">
        <v>3951.15</v>
      </c>
      <c r="R184" s="2">
        <v>390.99</v>
      </c>
      <c r="S184" s="2">
        <v>1812293.64</v>
      </c>
      <c r="T184" s="1">
        <v>2.180193067388351E-3</v>
      </c>
    </row>
    <row r="185" spans="1:20" x14ac:dyDescent="0.3">
      <c r="A185" s="30" t="s">
        <v>71</v>
      </c>
      <c r="B185" s="30" t="s">
        <v>72</v>
      </c>
      <c r="C185" s="30" t="s">
        <v>273</v>
      </c>
      <c r="D185">
        <v>2025</v>
      </c>
      <c r="E185">
        <v>170</v>
      </c>
      <c r="F185" s="30" t="s">
        <v>74</v>
      </c>
      <c r="G185" s="30" t="s">
        <v>39</v>
      </c>
      <c r="H185" s="30" t="s">
        <v>60</v>
      </c>
      <c r="I185" s="2">
        <v>2304.38</v>
      </c>
      <c r="J185" s="2">
        <v>2302.7600000000002</v>
      </c>
      <c r="K185" s="2">
        <v>628.65350000000001</v>
      </c>
      <c r="L185" s="2">
        <v>184.22</v>
      </c>
      <c r="M185" s="2">
        <v>336</v>
      </c>
      <c r="N185" s="2">
        <v>80</v>
      </c>
      <c r="Q185" s="2">
        <v>3533.2534999999998</v>
      </c>
      <c r="R185" s="2">
        <v>329.38</v>
      </c>
      <c r="S185" s="2">
        <v>1812293.64</v>
      </c>
      <c r="T185" s="1">
        <v>1.9496032000642016E-3</v>
      </c>
    </row>
    <row r="186" spans="1:20" x14ac:dyDescent="0.3">
      <c r="A186" s="30" t="s">
        <v>71</v>
      </c>
      <c r="B186" s="30" t="s">
        <v>72</v>
      </c>
      <c r="C186" s="30" t="s">
        <v>273</v>
      </c>
      <c r="D186">
        <v>2025</v>
      </c>
      <c r="E186">
        <v>47</v>
      </c>
      <c r="F186" s="30" t="s">
        <v>75</v>
      </c>
      <c r="G186" s="30" t="s">
        <v>76</v>
      </c>
      <c r="H186" s="30" t="s">
        <v>76</v>
      </c>
      <c r="I186" s="2">
        <v>8157.41</v>
      </c>
      <c r="J186" s="2">
        <v>8157.41</v>
      </c>
      <c r="K186" s="2">
        <v>1631.482</v>
      </c>
      <c r="L186" s="2">
        <v>0</v>
      </c>
      <c r="Q186" s="2">
        <v>9788.8919999999998</v>
      </c>
      <c r="R186" s="2">
        <v>0</v>
      </c>
      <c r="S186" s="2">
        <v>1812293.64</v>
      </c>
      <c r="T186" s="1">
        <v>5.4013829679389041E-3</v>
      </c>
    </row>
    <row r="187" spans="1:20" x14ac:dyDescent="0.3">
      <c r="A187" s="30" t="s">
        <v>71</v>
      </c>
      <c r="B187" s="30" t="s">
        <v>72</v>
      </c>
      <c r="C187" s="30" t="s">
        <v>273</v>
      </c>
      <c r="D187">
        <v>2025</v>
      </c>
      <c r="E187">
        <v>251</v>
      </c>
      <c r="F187" s="30" t="s">
        <v>261</v>
      </c>
      <c r="G187" s="30" t="s">
        <v>29</v>
      </c>
      <c r="H187" s="30" t="s">
        <v>30</v>
      </c>
      <c r="I187" s="2">
        <v>3195.88</v>
      </c>
      <c r="J187" s="2">
        <v>2093.62</v>
      </c>
      <c r="K187" s="2">
        <v>571.55830000000003</v>
      </c>
      <c r="L187" s="2">
        <v>167.48</v>
      </c>
      <c r="M187" s="2">
        <v>541</v>
      </c>
      <c r="Q187" s="2">
        <v>4475.9183000000003</v>
      </c>
      <c r="R187" s="2">
        <v>11.59</v>
      </c>
      <c r="S187" s="2">
        <v>1812293.64</v>
      </c>
      <c r="T187" s="1">
        <v>2.4697533342334086E-3</v>
      </c>
    </row>
    <row r="188" spans="1:20" x14ac:dyDescent="0.3">
      <c r="A188" s="30" t="s">
        <v>71</v>
      </c>
      <c r="B188" s="30" t="s">
        <v>72</v>
      </c>
      <c r="C188" s="30" t="s">
        <v>273</v>
      </c>
      <c r="D188">
        <v>2025</v>
      </c>
      <c r="E188">
        <v>229</v>
      </c>
      <c r="F188" s="30" t="s">
        <v>77</v>
      </c>
      <c r="G188" s="30" t="s">
        <v>33</v>
      </c>
      <c r="H188" s="30" t="s">
        <v>50</v>
      </c>
      <c r="I188" s="2">
        <v>2261.64</v>
      </c>
      <c r="J188" s="2">
        <v>2261.64</v>
      </c>
      <c r="K188" s="2">
        <v>617.42769999999996</v>
      </c>
      <c r="L188" s="2">
        <v>180.93</v>
      </c>
      <c r="M188" s="2">
        <v>308</v>
      </c>
      <c r="Q188" s="2">
        <v>3367.9976999999999</v>
      </c>
      <c r="R188" s="2">
        <v>190.64</v>
      </c>
      <c r="S188" s="2">
        <v>1812293.64</v>
      </c>
      <c r="T188" s="1">
        <v>1.8584172264710921E-3</v>
      </c>
    </row>
    <row r="189" spans="1:20" x14ac:dyDescent="0.3">
      <c r="A189" s="30" t="s">
        <v>71</v>
      </c>
      <c r="B189" s="30" t="s">
        <v>72</v>
      </c>
      <c r="C189" s="30" t="s">
        <v>273</v>
      </c>
      <c r="D189">
        <v>2025</v>
      </c>
      <c r="E189">
        <v>253</v>
      </c>
      <c r="F189" s="30" t="s">
        <v>262</v>
      </c>
      <c r="G189" s="30" t="s">
        <v>26</v>
      </c>
      <c r="H189" s="30" t="s">
        <v>60</v>
      </c>
      <c r="I189" s="2">
        <v>2034.25</v>
      </c>
      <c r="J189" s="2">
        <v>2032.45</v>
      </c>
      <c r="K189" s="2">
        <v>554.85889999999995</v>
      </c>
      <c r="L189" s="2">
        <v>162.59</v>
      </c>
      <c r="M189" s="2">
        <v>336</v>
      </c>
      <c r="N189" s="2">
        <v>80</v>
      </c>
      <c r="Q189" s="2">
        <v>3167.6988999999999</v>
      </c>
      <c r="R189" s="2">
        <v>59.25</v>
      </c>
      <c r="S189" s="2">
        <v>1812293.64</v>
      </c>
      <c r="T189" s="1">
        <v>1.7478949217081623E-3</v>
      </c>
    </row>
    <row r="190" spans="1:20" x14ac:dyDescent="0.3">
      <c r="A190" s="30" t="s">
        <v>71</v>
      </c>
      <c r="B190" s="30" t="s">
        <v>72</v>
      </c>
      <c r="C190" s="30" t="s">
        <v>273</v>
      </c>
      <c r="D190">
        <v>2025</v>
      </c>
      <c r="E190">
        <v>231</v>
      </c>
      <c r="F190" s="30" t="s">
        <v>78</v>
      </c>
      <c r="G190" s="30" t="s">
        <v>26</v>
      </c>
      <c r="H190" s="30" t="s">
        <v>60</v>
      </c>
      <c r="I190" s="2">
        <v>2190.15</v>
      </c>
      <c r="J190" s="2">
        <v>2190.15</v>
      </c>
      <c r="K190" s="2">
        <v>597.91099999999994</v>
      </c>
      <c r="L190" s="2">
        <v>175.21</v>
      </c>
      <c r="M190" s="2">
        <v>238</v>
      </c>
      <c r="P190" s="2">
        <v>254.8</v>
      </c>
      <c r="Q190" s="2">
        <v>3456.0709999999999</v>
      </c>
      <c r="R190" s="2">
        <v>215.15</v>
      </c>
      <c r="S190" s="2">
        <v>1812293.64</v>
      </c>
      <c r="T190" s="1">
        <v>1.9070148863955625E-3</v>
      </c>
    </row>
    <row r="191" spans="1:20" x14ac:dyDescent="0.3">
      <c r="A191" s="30" t="s">
        <v>71</v>
      </c>
      <c r="B191" s="30" t="s">
        <v>72</v>
      </c>
      <c r="C191" s="30" t="s">
        <v>273</v>
      </c>
      <c r="D191">
        <v>2025</v>
      </c>
      <c r="E191">
        <v>12</v>
      </c>
      <c r="F191" s="30" t="s">
        <v>80</v>
      </c>
      <c r="G191" s="30" t="s">
        <v>26</v>
      </c>
      <c r="H191" s="30" t="s">
        <v>37</v>
      </c>
      <c r="I191" s="2">
        <v>3102.1</v>
      </c>
      <c r="J191" s="2">
        <v>3102.1</v>
      </c>
      <c r="K191" s="2">
        <v>846.87329999999997</v>
      </c>
      <c r="L191" s="2">
        <v>248.16</v>
      </c>
      <c r="M191" s="2">
        <v>336</v>
      </c>
      <c r="N191" s="2">
        <v>80</v>
      </c>
      <c r="O191" s="2">
        <v>122.84</v>
      </c>
      <c r="P191" s="2">
        <v>306.8</v>
      </c>
      <c r="Q191" s="2">
        <v>5042.7732999999998</v>
      </c>
      <c r="R191" s="2">
        <v>780.8</v>
      </c>
      <c r="S191" s="2">
        <v>1812293.64</v>
      </c>
      <c r="T191" s="1">
        <v>2.7825365540652671E-3</v>
      </c>
    </row>
    <row r="192" spans="1:20" x14ac:dyDescent="0.3">
      <c r="A192" s="30" t="s">
        <v>71</v>
      </c>
      <c r="B192" s="30" t="s">
        <v>72</v>
      </c>
      <c r="C192" s="30" t="s">
        <v>273</v>
      </c>
      <c r="D192">
        <v>2025</v>
      </c>
      <c r="E192">
        <v>13</v>
      </c>
      <c r="F192" s="30" t="s">
        <v>81</v>
      </c>
      <c r="G192" s="30" t="s">
        <v>42</v>
      </c>
      <c r="H192" s="30" t="s">
        <v>43</v>
      </c>
      <c r="I192" s="2">
        <v>2533.58</v>
      </c>
      <c r="J192" s="2">
        <v>2533.58</v>
      </c>
      <c r="K192" s="2">
        <v>691.66729999999995</v>
      </c>
      <c r="L192" s="2">
        <v>202.68</v>
      </c>
      <c r="M192" s="2">
        <v>336</v>
      </c>
      <c r="O192" s="2">
        <v>122.84</v>
      </c>
      <c r="Q192" s="2">
        <v>3886.7673</v>
      </c>
      <c r="R192" s="2">
        <v>12.15</v>
      </c>
      <c r="S192" s="2">
        <v>1812293.64</v>
      </c>
      <c r="T192" s="1">
        <v>2.144667538534208E-3</v>
      </c>
    </row>
    <row r="193" spans="1:20" x14ac:dyDescent="0.3">
      <c r="A193" s="30" t="s">
        <v>71</v>
      </c>
      <c r="B193" s="30" t="s">
        <v>72</v>
      </c>
      <c r="C193" s="30" t="s">
        <v>273</v>
      </c>
      <c r="D193">
        <v>2025</v>
      </c>
      <c r="E193">
        <v>238</v>
      </c>
      <c r="F193" s="30" t="s">
        <v>82</v>
      </c>
      <c r="G193" s="30" t="s">
        <v>29</v>
      </c>
      <c r="H193" s="30" t="s">
        <v>30</v>
      </c>
      <c r="I193" s="2">
        <v>2448.33</v>
      </c>
      <c r="J193" s="2">
        <v>2448.33</v>
      </c>
      <c r="K193" s="2">
        <v>668.39409999999998</v>
      </c>
      <c r="L193" s="2">
        <v>195.86</v>
      </c>
      <c r="M193" s="2">
        <v>752</v>
      </c>
      <c r="P193" s="2">
        <v>306.8</v>
      </c>
      <c r="Q193" s="2">
        <v>4371.3841000000002</v>
      </c>
      <c r="R193" s="2">
        <v>227.33</v>
      </c>
      <c r="S193" s="2">
        <v>1812293.64</v>
      </c>
      <c r="T193" s="1">
        <v>2.4120727422516364E-3</v>
      </c>
    </row>
    <row r="194" spans="1:20" x14ac:dyDescent="0.3">
      <c r="A194" s="30" t="s">
        <v>71</v>
      </c>
      <c r="B194" s="30" t="s">
        <v>72</v>
      </c>
      <c r="C194" s="30" t="s">
        <v>273</v>
      </c>
      <c r="D194">
        <v>2025</v>
      </c>
      <c r="E194">
        <v>223</v>
      </c>
      <c r="F194" s="30" t="s">
        <v>83</v>
      </c>
      <c r="G194" s="30" t="s">
        <v>42</v>
      </c>
      <c r="H194" s="30" t="s">
        <v>84</v>
      </c>
      <c r="I194" s="2">
        <v>2509.5100000000002</v>
      </c>
      <c r="J194" s="2">
        <v>2509.5100000000002</v>
      </c>
      <c r="K194" s="2">
        <v>685.09619999999995</v>
      </c>
      <c r="L194" s="2">
        <v>200.76</v>
      </c>
      <c r="M194" s="2">
        <v>308</v>
      </c>
      <c r="O194" s="2">
        <v>122.84</v>
      </c>
      <c r="Q194" s="2">
        <v>3826.2062000000001</v>
      </c>
      <c r="R194" s="2">
        <v>534.51</v>
      </c>
      <c r="S194" s="2">
        <v>1812293.64</v>
      </c>
      <c r="T194" s="1">
        <v>2.1112507076943669E-3</v>
      </c>
    </row>
    <row r="195" spans="1:20" x14ac:dyDescent="0.3">
      <c r="A195" s="30" t="s">
        <v>71</v>
      </c>
      <c r="B195" s="30" t="s">
        <v>72</v>
      </c>
      <c r="C195" s="30" t="s">
        <v>273</v>
      </c>
      <c r="D195">
        <v>2025</v>
      </c>
      <c r="E195">
        <v>179</v>
      </c>
      <c r="F195" s="30" t="s">
        <v>86</v>
      </c>
      <c r="G195" s="30" t="s">
        <v>26</v>
      </c>
      <c r="H195" s="30" t="s">
        <v>60</v>
      </c>
      <c r="I195" s="2">
        <v>2618.36</v>
      </c>
      <c r="J195" s="2">
        <v>2618.36</v>
      </c>
      <c r="K195" s="2">
        <v>714.81230000000005</v>
      </c>
      <c r="L195" s="2">
        <v>209.46</v>
      </c>
      <c r="M195" s="2">
        <v>336</v>
      </c>
      <c r="N195" s="2">
        <v>80</v>
      </c>
      <c r="P195" s="2">
        <v>306.8</v>
      </c>
      <c r="Q195" s="2">
        <v>4265.4323000000004</v>
      </c>
      <c r="R195" s="2">
        <v>643.36</v>
      </c>
      <c r="S195" s="2">
        <v>1812293.64</v>
      </c>
      <c r="T195" s="1">
        <v>2.353609915002516E-3</v>
      </c>
    </row>
    <row r="196" spans="1:20" x14ac:dyDescent="0.3">
      <c r="A196" s="30" t="s">
        <v>71</v>
      </c>
      <c r="B196" s="30" t="s">
        <v>72</v>
      </c>
      <c r="C196" s="30" t="s">
        <v>273</v>
      </c>
      <c r="D196">
        <v>2025</v>
      </c>
      <c r="E196">
        <v>204</v>
      </c>
      <c r="F196" s="30" t="s">
        <v>87</v>
      </c>
      <c r="G196" s="30" t="s">
        <v>29</v>
      </c>
      <c r="H196" s="30" t="s">
        <v>30</v>
      </c>
      <c r="I196" s="2">
        <v>2501.35</v>
      </c>
      <c r="J196" s="2">
        <v>2498.65</v>
      </c>
      <c r="K196" s="2">
        <v>682.13149999999996</v>
      </c>
      <c r="L196" s="2">
        <v>199.89</v>
      </c>
      <c r="M196" s="2">
        <v>428</v>
      </c>
      <c r="Q196" s="2">
        <v>3811.3715000000002</v>
      </c>
      <c r="R196" s="2">
        <v>280.35000000000002</v>
      </c>
      <c r="S196" s="2">
        <v>1812293.64</v>
      </c>
      <c r="T196" s="1">
        <v>2.1030650695215156E-3</v>
      </c>
    </row>
    <row r="197" spans="1:20" x14ac:dyDescent="0.3">
      <c r="A197" s="30" t="s">
        <v>71</v>
      </c>
      <c r="B197" s="30" t="s">
        <v>72</v>
      </c>
      <c r="C197" s="30" t="s">
        <v>273</v>
      </c>
      <c r="D197">
        <v>2025</v>
      </c>
      <c r="E197">
        <v>222</v>
      </c>
      <c r="F197" s="30" t="s">
        <v>88</v>
      </c>
      <c r="G197" s="30" t="s">
        <v>89</v>
      </c>
      <c r="H197" s="30" t="s">
        <v>50</v>
      </c>
      <c r="I197" s="2">
        <v>1997.09</v>
      </c>
      <c r="J197" s="2">
        <v>1965.4</v>
      </c>
      <c r="K197" s="2">
        <v>536.55420000000004</v>
      </c>
      <c r="L197" s="2">
        <v>157.22999999999999</v>
      </c>
      <c r="M197" s="2">
        <v>308</v>
      </c>
      <c r="P197" s="2">
        <v>254.8</v>
      </c>
      <c r="Q197" s="2">
        <v>3253.6741999999999</v>
      </c>
      <c r="R197" s="2">
        <v>22.09</v>
      </c>
      <c r="S197" s="2">
        <v>1812293.64</v>
      </c>
      <c r="T197" s="1">
        <v>1.7953349988029535E-3</v>
      </c>
    </row>
    <row r="198" spans="1:20" x14ac:dyDescent="0.3">
      <c r="A198" s="30" t="s">
        <v>71</v>
      </c>
      <c r="B198" s="30" t="s">
        <v>72</v>
      </c>
      <c r="C198" s="30" t="s">
        <v>273</v>
      </c>
      <c r="D198">
        <v>2025</v>
      </c>
      <c r="E198">
        <v>252</v>
      </c>
      <c r="F198" s="30" t="s">
        <v>263</v>
      </c>
      <c r="G198" s="30" t="s">
        <v>39</v>
      </c>
      <c r="H198" s="30" t="s">
        <v>57</v>
      </c>
      <c r="I198" s="2">
        <v>2624.34</v>
      </c>
      <c r="J198" s="2">
        <v>2599.31</v>
      </c>
      <c r="K198" s="2">
        <v>709.61159999999995</v>
      </c>
      <c r="L198" s="2">
        <v>207.94</v>
      </c>
      <c r="M198" s="2">
        <v>643</v>
      </c>
      <c r="N198" s="2">
        <v>80</v>
      </c>
      <c r="Q198" s="2">
        <v>4264.8915999999999</v>
      </c>
      <c r="R198" s="2">
        <v>198.84</v>
      </c>
      <c r="S198" s="2">
        <v>1812293.64</v>
      </c>
      <c r="T198" s="1">
        <v>2.3533115913820677E-3</v>
      </c>
    </row>
    <row r="199" spans="1:20" x14ac:dyDescent="0.3">
      <c r="A199" s="30" t="s">
        <v>71</v>
      </c>
      <c r="B199" s="30" t="s">
        <v>72</v>
      </c>
      <c r="C199" s="30" t="s">
        <v>273</v>
      </c>
      <c r="D199">
        <v>2025</v>
      </c>
      <c r="E199">
        <v>254</v>
      </c>
      <c r="F199" s="30" t="s">
        <v>264</v>
      </c>
      <c r="G199" s="30" t="s">
        <v>89</v>
      </c>
      <c r="H199" s="30" t="s">
        <v>50</v>
      </c>
      <c r="I199" s="2">
        <v>2179.6799999999998</v>
      </c>
      <c r="J199" s="2">
        <v>2082.9</v>
      </c>
      <c r="K199" s="2">
        <v>568.63170000000002</v>
      </c>
      <c r="L199" s="2">
        <v>166.63</v>
      </c>
      <c r="M199" s="2">
        <v>336</v>
      </c>
      <c r="P199" s="2">
        <v>306.8</v>
      </c>
      <c r="Q199" s="2">
        <v>3557.7417</v>
      </c>
      <c r="R199" s="2">
        <v>204.68</v>
      </c>
      <c r="S199" s="2">
        <v>1812293.64</v>
      </c>
      <c r="T199" s="1">
        <v>1.9631154805575548E-3</v>
      </c>
    </row>
    <row r="200" spans="1:20" x14ac:dyDescent="0.3">
      <c r="A200" s="30" t="s">
        <v>71</v>
      </c>
      <c r="B200" s="30" t="s">
        <v>72</v>
      </c>
      <c r="C200" s="30" t="s">
        <v>273</v>
      </c>
      <c r="D200">
        <v>2025</v>
      </c>
      <c r="E200">
        <v>216</v>
      </c>
      <c r="F200" s="30" t="s">
        <v>90</v>
      </c>
      <c r="G200" s="30" t="s">
        <v>39</v>
      </c>
      <c r="H200" s="30" t="s">
        <v>57</v>
      </c>
      <c r="I200" s="2">
        <v>2626.81</v>
      </c>
      <c r="J200" s="2">
        <v>2546</v>
      </c>
      <c r="K200" s="2">
        <v>695.05799999999999</v>
      </c>
      <c r="L200" s="2">
        <v>203.68</v>
      </c>
      <c r="M200" s="2">
        <v>336</v>
      </c>
      <c r="Q200" s="2">
        <v>3861.5479999999998</v>
      </c>
      <c r="R200" s="2">
        <v>201.31</v>
      </c>
      <c r="S200" s="2">
        <v>1812293.64</v>
      </c>
      <c r="T200" s="1">
        <v>2.1307518355579507E-3</v>
      </c>
    </row>
    <row r="201" spans="1:20" x14ac:dyDescent="0.3">
      <c r="A201" s="30" t="s">
        <v>71</v>
      </c>
      <c r="B201" s="30" t="s">
        <v>72</v>
      </c>
      <c r="C201" s="30" t="s">
        <v>273</v>
      </c>
      <c r="D201">
        <v>2025</v>
      </c>
      <c r="E201">
        <v>221</v>
      </c>
      <c r="F201" s="30" t="s">
        <v>91</v>
      </c>
      <c r="G201" s="30" t="s">
        <v>29</v>
      </c>
      <c r="H201" s="30" t="s">
        <v>30</v>
      </c>
      <c r="I201" s="2">
        <v>2568.63</v>
      </c>
      <c r="J201" s="2">
        <v>2568.63</v>
      </c>
      <c r="K201" s="2">
        <v>701.23599999999999</v>
      </c>
      <c r="L201" s="2">
        <v>205.49</v>
      </c>
      <c r="M201" s="2">
        <v>446</v>
      </c>
      <c r="N201" s="2">
        <v>80</v>
      </c>
      <c r="Q201" s="2">
        <v>4001.3560000000002</v>
      </c>
      <c r="R201" s="2">
        <v>347.63</v>
      </c>
      <c r="S201" s="2">
        <v>1812293.64</v>
      </c>
      <c r="T201" s="1">
        <v>2.2078960614793086E-3</v>
      </c>
    </row>
    <row r="202" spans="1:20" x14ac:dyDescent="0.3">
      <c r="A202" s="30" t="s">
        <v>71</v>
      </c>
      <c r="B202" s="30" t="s">
        <v>72</v>
      </c>
      <c r="C202" s="30" t="s">
        <v>273</v>
      </c>
      <c r="D202">
        <v>2025</v>
      </c>
      <c r="E202">
        <v>132</v>
      </c>
      <c r="F202" s="30" t="s">
        <v>93</v>
      </c>
      <c r="G202" s="30" t="s">
        <v>33</v>
      </c>
      <c r="H202" s="30" t="s">
        <v>94</v>
      </c>
      <c r="I202" s="2">
        <v>2427.88</v>
      </c>
      <c r="J202" s="2">
        <v>2417.71</v>
      </c>
      <c r="K202" s="2">
        <v>660.03480000000002</v>
      </c>
      <c r="L202" s="2">
        <v>0</v>
      </c>
      <c r="M202" s="2">
        <v>322</v>
      </c>
      <c r="Q202" s="2">
        <v>3409.9148</v>
      </c>
      <c r="R202" s="2">
        <v>189.64</v>
      </c>
      <c r="S202" s="2">
        <v>1812293.64</v>
      </c>
      <c r="T202" s="1">
        <v>1.8815465412106176E-3</v>
      </c>
    </row>
    <row r="203" spans="1:20" x14ac:dyDescent="0.3">
      <c r="A203" s="30" t="s">
        <v>71</v>
      </c>
      <c r="B203" s="30" t="s">
        <v>72</v>
      </c>
      <c r="C203" s="30" t="s">
        <v>273</v>
      </c>
      <c r="D203">
        <v>2025</v>
      </c>
      <c r="E203">
        <v>194</v>
      </c>
      <c r="F203" s="30" t="s">
        <v>95</v>
      </c>
      <c r="G203" s="30" t="s">
        <v>29</v>
      </c>
      <c r="H203" s="30" t="s">
        <v>30</v>
      </c>
      <c r="I203" s="2">
        <v>2565.1</v>
      </c>
      <c r="J203" s="2">
        <v>2565.1</v>
      </c>
      <c r="K203" s="2">
        <v>700.27229999999997</v>
      </c>
      <c r="L203" s="2">
        <v>205.2</v>
      </c>
      <c r="M203" s="2">
        <v>642</v>
      </c>
      <c r="N203" s="2">
        <v>80</v>
      </c>
      <c r="P203" s="2">
        <v>296.39999999999998</v>
      </c>
      <c r="Q203" s="2">
        <v>4488.9723000000004</v>
      </c>
      <c r="R203" s="2">
        <v>344.1</v>
      </c>
      <c r="S203" s="2">
        <v>1812293.64</v>
      </c>
      <c r="T203" s="1">
        <v>2.4769563832933825E-3</v>
      </c>
    </row>
    <row r="204" spans="1:20" x14ac:dyDescent="0.3">
      <c r="A204" s="30" t="s">
        <v>71</v>
      </c>
      <c r="B204" s="30" t="s">
        <v>72</v>
      </c>
      <c r="C204" s="30" t="s">
        <v>273</v>
      </c>
      <c r="D204">
        <v>2025</v>
      </c>
      <c r="E204">
        <v>228</v>
      </c>
      <c r="F204" s="30" t="s">
        <v>97</v>
      </c>
      <c r="G204" s="30" t="s">
        <v>33</v>
      </c>
      <c r="H204" s="30" t="s">
        <v>64</v>
      </c>
      <c r="I204" s="2">
        <v>957.4</v>
      </c>
      <c r="J204" s="2">
        <v>0</v>
      </c>
      <c r="K204" s="2">
        <v>0</v>
      </c>
      <c r="L204" s="2">
        <v>0</v>
      </c>
      <c r="N204" s="2">
        <v>80</v>
      </c>
      <c r="P204" s="2">
        <v>284</v>
      </c>
      <c r="Q204" s="2">
        <v>1321.4</v>
      </c>
      <c r="R204" s="2">
        <v>0</v>
      </c>
      <c r="S204" s="2">
        <v>1812293.64</v>
      </c>
      <c r="T204" s="1">
        <v>7.2913129022513163E-4</v>
      </c>
    </row>
    <row r="205" spans="1:20" x14ac:dyDescent="0.3">
      <c r="A205" s="30" t="s">
        <v>71</v>
      </c>
      <c r="B205" s="30" t="s">
        <v>72</v>
      </c>
      <c r="C205" s="30" t="s">
        <v>273</v>
      </c>
      <c r="D205">
        <v>2025</v>
      </c>
      <c r="E205">
        <v>246</v>
      </c>
      <c r="F205" s="30" t="s">
        <v>98</v>
      </c>
      <c r="G205" s="30" t="s">
        <v>29</v>
      </c>
      <c r="H205" s="30" t="s">
        <v>30</v>
      </c>
      <c r="I205" s="2">
        <v>3558.18</v>
      </c>
      <c r="J205" s="2">
        <v>2811.58</v>
      </c>
      <c r="K205" s="2">
        <v>767.56129999999996</v>
      </c>
      <c r="L205" s="2">
        <v>224.92</v>
      </c>
      <c r="M205" s="2">
        <v>530</v>
      </c>
      <c r="Q205" s="2">
        <v>5080.6612999999998</v>
      </c>
      <c r="R205" s="2">
        <v>622.9</v>
      </c>
      <c r="S205" s="2">
        <v>1812293.64</v>
      </c>
      <c r="T205" s="1">
        <v>2.8034426805139592E-3</v>
      </c>
    </row>
    <row r="206" spans="1:20" x14ac:dyDescent="0.3">
      <c r="A206" s="30" t="s">
        <v>71</v>
      </c>
      <c r="B206" s="30" t="s">
        <v>72</v>
      </c>
      <c r="C206" s="30" t="s">
        <v>273</v>
      </c>
      <c r="D206">
        <v>2025</v>
      </c>
      <c r="E206">
        <v>165</v>
      </c>
      <c r="F206" s="30" t="s">
        <v>100</v>
      </c>
      <c r="G206" s="30" t="s">
        <v>26</v>
      </c>
      <c r="H206" s="30" t="s">
        <v>60</v>
      </c>
      <c r="I206" s="2">
        <v>2197.35</v>
      </c>
      <c r="J206" s="2">
        <v>2177.15</v>
      </c>
      <c r="K206" s="2">
        <v>594.36199999999997</v>
      </c>
      <c r="L206" s="2">
        <v>174.17</v>
      </c>
      <c r="M206" s="2">
        <v>336</v>
      </c>
      <c r="N206" s="2">
        <v>80</v>
      </c>
      <c r="Q206" s="2">
        <v>3381.8820000000001</v>
      </c>
      <c r="R206" s="2">
        <v>192.65</v>
      </c>
      <c r="S206" s="2">
        <v>1812293.64</v>
      </c>
      <c r="T206" s="1">
        <v>1.8660783635481939E-3</v>
      </c>
    </row>
    <row r="207" spans="1:20" x14ac:dyDescent="0.3">
      <c r="A207" s="30" t="s">
        <v>71</v>
      </c>
      <c r="B207" s="30" t="s">
        <v>72</v>
      </c>
      <c r="C207" s="30" t="s">
        <v>273</v>
      </c>
      <c r="D207">
        <v>2025</v>
      </c>
      <c r="E207">
        <v>210</v>
      </c>
      <c r="F207" s="30" t="s">
        <v>101</v>
      </c>
      <c r="G207" s="30" t="s">
        <v>89</v>
      </c>
      <c r="H207" s="30" t="s">
        <v>34</v>
      </c>
      <c r="I207" s="2">
        <v>2554.31</v>
      </c>
      <c r="J207" s="2">
        <v>2545.81</v>
      </c>
      <c r="K207" s="2">
        <v>695.00609999999995</v>
      </c>
      <c r="L207" s="2">
        <v>203.66</v>
      </c>
      <c r="M207" s="2">
        <v>450</v>
      </c>
      <c r="P207" s="2">
        <v>306.8</v>
      </c>
      <c r="Q207" s="2">
        <v>4209.7761</v>
      </c>
      <c r="R207" s="2">
        <v>476.1</v>
      </c>
      <c r="S207" s="2">
        <v>1812293.64</v>
      </c>
      <c r="T207" s="1">
        <v>2.3228995771347521E-3</v>
      </c>
    </row>
    <row r="208" spans="1:20" x14ac:dyDescent="0.3">
      <c r="A208" s="30" t="s">
        <v>71</v>
      </c>
      <c r="B208" s="30" t="s">
        <v>72</v>
      </c>
      <c r="C208" s="30" t="s">
        <v>273</v>
      </c>
      <c r="D208">
        <v>2025</v>
      </c>
      <c r="E208">
        <v>167</v>
      </c>
      <c r="F208" s="30" t="s">
        <v>102</v>
      </c>
      <c r="G208" s="30" t="s">
        <v>26</v>
      </c>
      <c r="H208" s="30" t="s">
        <v>60</v>
      </c>
      <c r="I208" s="2">
        <v>2617.2399999999998</v>
      </c>
      <c r="J208" s="2">
        <v>2617.2399999999998</v>
      </c>
      <c r="K208" s="2">
        <v>714.50649999999996</v>
      </c>
      <c r="L208" s="2">
        <v>209.37</v>
      </c>
      <c r="M208" s="2">
        <v>336</v>
      </c>
      <c r="N208" s="2">
        <v>80</v>
      </c>
      <c r="Q208" s="2">
        <v>3957.1165000000001</v>
      </c>
      <c r="R208" s="2">
        <v>642.24</v>
      </c>
      <c r="S208" s="2">
        <v>1812293.64</v>
      </c>
      <c r="T208" s="1">
        <v>2.1834852987731054E-3</v>
      </c>
    </row>
    <row r="209" spans="1:20" x14ac:dyDescent="0.3">
      <c r="A209" s="30" t="s">
        <v>71</v>
      </c>
      <c r="B209" s="30" t="s">
        <v>72</v>
      </c>
      <c r="C209" s="30" t="s">
        <v>273</v>
      </c>
      <c r="D209">
        <v>2025</v>
      </c>
      <c r="E209">
        <v>224</v>
      </c>
      <c r="F209" s="30" t="s">
        <v>103</v>
      </c>
      <c r="G209" s="30" t="s">
        <v>29</v>
      </c>
      <c r="H209" s="30" t="s">
        <v>30</v>
      </c>
      <c r="I209" s="2">
        <v>2399.5500000000002</v>
      </c>
      <c r="J209" s="2">
        <v>2399.5500000000002</v>
      </c>
      <c r="K209" s="2">
        <v>655.07719999999995</v>
      </c>
      <c r="L209" s="2">
        <v>191.96</v>
      </c>
      <c r="M209" s="2">
        <v>316</v>
      </c>
      <c r="Q209" s="2">
        <v>3562.5871999999999</v>
      </c>
      <c r="R209" s="2">
        <v>178.55</v>
      </c>
      <c r="S209" s="2">
        <v>1812293.64</v>
      </c>
      <c r="T209" s="1">
        <v>1.9657891366875848E-3</v>
      </c>
    </row>
    <row r="210" spans="1:20" x14ac:dyDescent="0.3">
      <c r="A210" s="30" t="s">
        <v>71</v>
      </c>
      <c r="B210" s="30" t="s">
        <v>72</v>
      </c>
      <c r="C210" s="30" t="s">
        <v>273</v>
      </c>
      <c r="D210">
        <v>2025</v>
      </c>
      <c r="E210">
        <v>236</v>
      </c>
      <c r="F210" s="30" t="s">
        <v>104</v>
      </c>
      <c r="G210" s="30" t="s">
        <v>39</v>
      </c>
      <c r="H210" s="30" t="s">
        <v>55</v>
      </c>
      <c r="I210" s="2">
        <v>2627.1</v>
      </c>
      <c r="J210" s="2">
        <v>2179.3000000000002</v>
      </c>
      <c r="K210" s="2">
        <v>594.94889999999998</v>
      </c>
      <c r="L210" s="2">
        <v>174.34</v>
      </c>
      <c r="M210" s="2">
        <v>573</v>
      </c>
      <c r="Q210" s="2">
        <v>3969.3888999999999</v>
      </c>
      <c r="R210" s="2">
        <v>201.6</v>
      </c>
      <c r="S210" s="2">
        <v>1812293.64</v>
      </c>
      <c r="T210" s="1">
        <v>2.1902570380371695E-3</v>
      </c>
    </row>
    <row r="211" spans="1:20" x14ac:dyDescent="0.3">
      <c r="A211" s="30" t="s">
        <v>71</v>
      </c>
      <c r="B211" s="30" t="s">
        <v>72</v>
      </c>
      <c r="C211" s="30" t="s">
        <v>273</v>
      </c>
      <c r="D211">
        <v>2025</v>
      </c>
      <c r="E211">
        <v>256</v>
      </c>
      <c r="F211" s="30" t="s">
        <v>280</v>
      </c>
      <c r="G211" s="30" t="s">
        <v>33</v>
      </c>
      <c r="H211" s="30" t="s">
        <v>50</v>
      </c>
      <c r="I211" s="2">
        <v>1939.59</v>
      </c>
      <c r="J211" s="2">
        <v>1140.6099999999999</v>
      </c>
      <c r="K211" s="2">
        <v>311.38650000000001</v>
      </c>
      <c r="L211" s="2">
        <v>0</v>
      </c>
      <c r="M211" s="2">
        <v>378</v>
      </c>
      <c r="Q211" s="2">
        <v>2628.9765000000002</v>
      </c>
      <c r="R211" s="2">
        <v>30.42</v>
      </c>
      <c r="S211" s="2">
        <v>1812293.64</v>
      </c>
      <c r="T211" s="1">
        <v>1.4506349699489095E-3</v>
      </c>
    </row>
    <row r="212" spans="1:20" x14ac:dyDescent="0.3">
      <c r="A212" s="30" t="s">
        <v>71</v>
      </c>
      <c r="B212" s="30" t="s">
        <v>72</v>
      </c>
      <c r="C212" s="30" t="s">
        <v>273</v>
      </c>
      <c r="D212">
        <v>2025</v>
      </c>
      <c r="E212">
        <v>258</v>
      </c>
      <c r="F212" s="30" t="s">
        <v>281</v>
      </c>
      <c r="G212" s="30" t="s">
        <v>29</v>
      </c>
      <c r="H212" s="30" t="s">
        <v>30</v>
      </c>
      <c r="I212" s="2">
        <v>1477.73</v>
      </c>
      <c r="J212" s="2">
        <v>1473.38</v>
      </c>
      <c r="K212" s="2">
        <v>402.23270000000002</v>
      </c>
      <c r="L212" s="2">
        <v>117.87</v>
      </c>
      <c r="Q212" s="2">
        <v>1997.8326999999999</v>
      </c>
      <c r="R212" s="2">
        <v>367.23</v>
      </c>
      <c r="S212" s="2">
        <v>1812293.64</v>
      </c>
      <c r="T212" s="1">
        <v>1.102378056130021E-3</v>
      </c>
    </row>
    <row r="213" spans="1:20" x14ac:dyDescent="0.3">
      <c r="A213" s="30" t="s">
        <v>71</v>
      </c>
      <c r="B213" s="30" t="s">
        <v>72</v>
      </c>
      <c r="C213" s="30" t="s">
        <v>273</v>
      </c>
      <c r="D213">
        <v>2025</v>
      </c>
      <c r="E213">
        <v>257</v>
      </c>
      <c r="F213" s="30" t="s">
        <v>282</v>
      </c>
      <c r="G213" s="30" t="s">
        <v>26</v>
      </c>
      <c r="H213" s="30" t="s">
        <v>60</v>
      </c>
      <c r="I213" s="2">
        <v>1286.26</v>
      </c>
      <c r="J213" s="2">
        <v>1286.26</v>
      </c>
      <c r="K213" s="2">
        <v>351.149</v>
      </c>
      <c r="L213" s="2">
        <v>102.9</v>
      </c>
      <c r="Q213" s="2">
        <v>1740.309</v>
      </c>
      <c r="R213" s="2">
        <v>232.93</v>
      </c>
      <c r="S213" s="2">
        <v>1812293.64</v>
      </c>
      <c r="T213" s="1">
        <v>9.6027980322217548E-4</v>
      </c>
    </row>
    <row r="214" spans="1:20" x14ac:dyDescent="0.3">
      <c r="A214" s="30" t="s">
        <v>71</v>
      </c>
      <c r="B214" s="30" t="s">
        <v>72</v>
      </c>
      <c r="C214" s="30" t="s">
        <v>273</v>
      </c>
      <c r="D214">
        <v>2025</v>
      </c>
      <c r="E214">
        <v>250</v>
      </c>
      <c r="F214" s="30" t="s">
        <v>105</v>
      </c>
      <c r="G214" s="30" t="s">
        <v>33</v>
      </c>
      <c r="H214" s="30" t="s">
        <v>50</v>
      </c>
      <c r="I214" s="2">
        <v>1745.3</v>
      </c>
      <c r="J214" s="2">
        <v>494.63</v>
      </c>
      <c r="K214" s="2">
        <v>135.03399999999999</v>
      </c>
      <c r="L214" s="2">
        <v>39.56</v>
      </c>
      <c r="M214" s="2">
        <v>210</v>
      </c>
      <c r="Q214" s="2">
        <v>2129.8939999999998</v>
      </c>
      <c r="R214" s="2">
        <v>0</v>
      </c>
      <c r="S214" s="2">
        <v>1812293.64</v>
      </c>
      <c r="T214" s="1">
        <v>1.1752477319293578E-3</v>
      </c>
    </row>
    <row r="215" spans="1:20" x14ac:dyDescent="0.3">
      <c r="A215" s="30" t="s">
        <v>71</v>
      </c>
      <c r="B215" s="30" t="s">
        <v>72</v>
      </c>
      <c r="C215" s="30" t="s">
        <v>273</v>
      </c>
      <c r="D215">
        <v>2025</v>
      </c>
      <c r="E215">
        <v>205</v>
      </c>
      <c r="F215" s="30" t="s">
        <v>106</v>
      </c>
      <c r="G215" s="30" t="s">
        <v>33</v>
      </c>
      <c r="H215" s="30" t="s">
        <v>50</v>
      </c>
      <c r="I215" s="2">
        <v>2216.44</v>
      </c>
      <c r="J215" s="2">
        <v>1990.03</v>
      </c>
      <c r="K215" s="2">
        <v>543.27819999999997</v>
      </c>
      <c r="L215" s="2">
        <v>159.19999999999999</v>
      </c>
      <c r="M215" s="2">
        <v>337</v>
      </c>
      <c r="Q215" s="2">
        <v>3255.9182000000001</v>
      </c>
      <c r="R215" s="2">
        <v>145.44</v>
      </c>
      <c r="S215" s="2">
        <v>1812293.64</v>
      </c>
      <c r="T215" s="1">
        <v>1.7965732032254997E-3</v>
      </c>
    </row>
    <row r="216" spans="1:20" x14ac:dyDescent="0.3">
      <c r="A216" s="30" t="s">
        <v>71</v>
      </c>
      <c r="B216" s="30" t="s">
        <v>72</v>
      </c>
      <c r="C216" s="30" t="s">
        <v>273</v>
      </c>
      <c r="D216">
        <v>2025</v>
      </c>
      <c r="E216">
        <v>255</v>
      </c>
      <c r="F216" s="30" t="s">
        <v>265</v>
      </c>
      <c r="G216" s="30" t="s">
        <v>29</v>
      </c>
      <c r="H216" s="30" t="s">
        <v>30</v>
      </c>
      <c r="I216" s="2">
        <v>2484.84</v>
      </c>
      <c r="J216" s="2">
        <v>2484.84</v>
      </c>
      <c r="K216" s="2">
        <v>678.36130000000003</v>
      </c>
      <c r="L216" s="2">
        <v>198.78</v>
      </c>
      <c r="M216" s="2">
        <v>454</v>
      </c>
      <c r="N216" s="2">
        <v>80</v>
      </c>
      <c r="Q216" s="2">
        <v>3895.9812999999999</v>
      </c>
      <c r="R216" s="2">
        <v>263.83999999999997</v>
      </c>
      <c r="S216" s="2">
        <v>1812293.64</v>
      </c>
      <c r="T216" s="1">
        <v>2.1497516925568423E-3</v>
      </c>
    </row>
    <row r="217" spans="1:20" x14ac:dyDescent="0.3">
      <c r="A217" s="30" t="s">
        <v>71</v>
      </c>
      <c r="B217" s="30" t="s">
        <v>72</v>
      </c>
      <c r="C217" s="30" t="s">
        <v>273</v>
      </c>
      <c r="D217">
        <v>2025</v>
      </c>
      <c r="E217">
        <v>215</v>
      </c>
      <c r="F217" s="30" t="s">
        <v>108</v>
      </c>
      <c r="G217" s="30" t="s">
        <v>29</v>
      </c>
      <c r="H217" s="30" t="s">
        <v>30</v>
      </c>
      <c r="I217" s="2">
        <v>3471.19</v>
      </c>
      <c r="J217" s="2">
        <v>0</v>
      </c>
      <c r="K217" s="2">
        <v>0</v>
      </c>
      <c r="L217" s="2">
        <v>0</v>
      </c>
      <c r="Q217" s="2">
        <v>3471.19</v>
      </c>
      <c r="R217" s="2">
        <v>0</v>
      </c>
      <c r="S217" s="2">
        <v>1812293.64</v>
      </c>
      <c r="T217" s="1">
        <v>1.9153573810478089E-3</v>
      </c>
    </row>
    <row r="218" spans="1:20" x14ac:dyDescent="0.3">
      <c r="A218" s="30" t="s">
        <v>71</v>
      </c>
      <c r="B218" s="30" t="s">
        <v>72</v>
      </c>
      <c r="C218" s="30" t="s">
        <v>273</v>
      </c>
      <c r="D218">
        <v>2025</v>
      </c>
      <c r="E218">
        <v>240</v>
      </c>
      <c r="F218" s="30" t="s">
        <v>109</v>
      </c>
      <c r="G218" s="30" t="s">
        <v>29</v>
      </c>
      <c r="H218" s="30" t="s">
        <v>30</v>
      </c>
      <c r="I218" s="2">
        <v>3912.6</v>
      </c>
      <c r="J218" s="2">
        <v>2668.65</v>
      </c>
      <c r="K218" s="2">
        <v>728.54150000000004</v>
      </c>
      <c r="L218" s="2">
        <v>298.87</v>
      </c>
      <c r="M218" s="2">
        <v>324</v>
      </c>
      <c r="Q218" s="2">
        <v>5264.0114000000003</v>
      </c>
      <c r="R218" s="2">
        <v>0</v>
      </c>
      <c r="S218" s="2">
        <v>1812293.64</v>
      </c>
      <c r="T218" s="1">
        <v>2.9046128805042875E-3</v>
      </c>
    </row>
    <row r="219" spans="1:20" x14ac:dyDescent="0.3">
      <c r="A219" s="30" t="s">
        <v>71</v>
      </c>
      <c r="B219" s="30" t="s">
        <v>72</v>
      </c>
      <c r="C219" s="30" t="s">
        <v>273</v>
      </c>
      <c r="D219">
        <v>2025</v>
      </c>
      <c r="E219">
        <v>123</v>
      </c>
      <c r="F219" s="30" t="s">
        <v>110</v>
      </c>
      <c r="G219" s="30" t="s">
        <v>29</v>
      </c>
      <c r="H219" s="30" t="s">
        <v>111</v>
      </c>
      <c r="I219" s="2">
        <v>2823.96</v>
      </c>
      <c r="J219" s="2">
        <v>2821.53</v>
      </c>
      <c r="K219" s="2">
        <v>770.27769999999998</v>
      </c>
      <c r="L219" s="2">
        <v>225.72</v>
      </c>
      <c r="M219" s="2">
        <v>572</v>
      </c>
      <c r="P219" s="2">
        <v>306.8</v>
      </c>
      <c r="Q219" s="2">
        <v>4698.7577000000001</v>
      </c>
      <c r="R219" s="2">
        <v>502.66</v>
      </c>
      <c r="S219" s="2">
        <v>1812293.64</v>
      </c>
      <c r="T219" s="1">
        <v>2.5927132260972906E-3</v>
      </c>
    </row>
    <row r="220" spans="1:20" x14ac:dyDescent="0.3">
      <c r="A220" s="30" t="s">
        <v>71</v>
      </c>
      <c r="B220" s="30" t="s">
        <v>72</v>
      </c>
      <c r="C220" s="30" t="s">
        <v>273</v>
      </c>
      <c r="D220">
        <v>2025</v>
      </c>
      <c r="E220">
        <v>152</v>
      </c>
      <c r="F220" s="30" t="s">
        <v>112</v>
      </c>
      <c r="G220" s="30" t="s">
        <v>29</v>
      </c>
      <c r="H220" s="30" t="s">
        <v>30</v>
      </c>
      <c r="I220" s="2">
        <v>2383.2800000000002</v>
      </c>
      <c r="J220" s="2">
        <v>2317.31</v>
      </c>
      <c r="K220" s="2">
        <v>632.62559999999996</v>
      </c>
      <c r="L220" s="2">
        <v>185.38</v>
      </c>
      <c r="M220" s="2">
        <v>271</v>
      </c>
      <c r="P220" s="2">
        <v>216.8</v>
      </c>
      <c r="Q220" s="2">
        <v>3689.0855999999999</v>
      </c>
      <c r="R220" s="2">
        <v>162.28</v>
      </c>
      <c r="S220" s="2">
        <v>1812293.64</v>
      </c>
      <c r="T220" s="1">
        <v>2.0355893485340493E-3</v>
      </c>
    </row>
    <row r="221" spans="1:20" x14ac:dyDescent="0.3">
      <c r="A221" s="30" t="s">
        <v>71</v>
      </c>
      <c r="B221" s="30" t="s">
        <v>72</v>
      </c>
      <c r="C221" s="30" t="s">
        <v>273</v>
      </c>
      <c r="D221">
        <v>2025</v>
      </c>
      <c r="E221">
        <v>247</v>
      </c>
      <c r="F221" s="30" t="s">
        <v>113</v>
      </c>
      <c r="G221" s="30" t="s">
        <v>29</v>
      </c>
      <c r="H221" s="30" t="s">
        <v>30</v>
      </c>
      <c r="I221" s="2">
        <v>2568.88</v>
      </c>
      <c r="J221" s="2">
        <v>2552.94</v>
      </c>
      <c r="K221" s="2">
        <v>696.95259999999996</v>
      </c>
      <c r="L221" s="2">
        <v>204.23</v>
      </c>
      <c r="M221" s="2">
        <v>347</v>
      </c>
      <c r="N221" s="2">
        <v>80</v>
      </c>
      <c r="Q221" s="2">
        <v>3897.0626000000002</v>
      </c>
      <c r="R221" s="2">
        <v>347.88</v>
      </c>
      <c r="S221" s="2">
        <v>1812293.64</v>
      </c>
      <c r="T221" s="1">
        <v>2.1503483397977384E-3</v>
      </c>
    </row>
    <row r="222" spans="1:20" x14ac:dyDescent="0.3">
      <c r="A222" s="30" t="s">
        <v>71</v>
      </c>
      <c r="B222" s="30" t="s">
        <v>72</v>
      </c>
      <c r="C222" s="30" t="s">
        <v>273</v>
      </c>
      <c r="D222">
        <v>2025</v>
      </c>
      <c r="E222">
        <v>249</v>
      </c>
      <c r="F222" s="30" t="s">
        <v>114</v>
      </c>
      <c r="G222" s="30" t="s">
        <v>39</v>
      </c>
      <c r="H222" s="30" t="s">
        <v>57</v>
      </c>
      <c r="I222" s="2">
        <v>2857.56</v>
      </c>
      <c r="J222" s="2">
        <v>2721.73</v>
      </c>
      <c r="K222" s="2">
        <v>743.03229999999996</v>
      </c>
      <c r="L222" s="2">
        <v>0</v>
      </c>
      <c r="M222" s="2">
        <v>929</v>
      </c>
      <c r="Q222" s="2">
        <v>4529.5923000000003</v>
      </c>
      <c r="R222" s="2">
        <v>432.06</v>
      </c>
      <c r="S222" s="2">
        <v>1812293.64</v>
      </c>
      <c r="T222" s="1">
        <v>2.4993699641300956E-3</v>
      </c>
    </row>
    <row r="223" spans="1:20" x14ac:dyDescent="0.3">
      <c r="A223" s="30" t="s">
        <v>71</v>
      </c>
      <c r="B223" s="30" t="s">
        <v>72</v>
      </c>
      <c r="C223" s="30" t="s">
        <v>273</v>
      </c>
      <c r="D223">
        <v>2025</v>
      </c>
      <c r="E223">
        <v>248</v>
      </c>
      <c r="F223" s="30" t="s">
        <v>115</v>
      </c>
      <c r="G223" s="30" t="s">
        <v>33</v>
      </c>
      <c r="H223" s="30" t="s">
        <v>50</v>
      </c>
      <c r="I223" s="2">
        <v>2024.01</v>
      </c>
      <c r="J223" s="2">
        <v>2024.01</v>
      </c>
      <c r="K223" s="2">
        <v>552.55470000000003</v>
      </c>
      <c r="L223" s="2">
        <v>161.91999999999999</v>
      </c>
      <c r="M223" s="2">
        <v>340</v>
      </c>
      <c r="N223" s="2">
        <v>80</v>
      </c>
      <c r="P223" s="2">
        <v>306.8</v>
      </c>
      <c r="Q223" s="2">
        <v>3465.2847000000002</v>
      </c>
      <c r="R223" s="2">
        <v>49.01</v>
      </c>
      <c r="S223" s="2">
        <v>1812293.64</v>
      </c>
      <c r="T223" s="1">
        <v>1.9120989300608041E-3</v>
      </c>
    </row>
    <row r="224" spans="1:20" x14ac:dyDescent="0.3">
      <c r="A224" s="30" t="s">
        <v>71</v>
      </c>
      <c r="B224" s="30" t="s">
        <v>72</v>
      </c>
      <c r="C224" s="30" t="s">
        <v>273</v>
      </c>
      <c r="D224">
        <v>2025</v>
      </c>
      <c r="E224">
        <v>2005</v>
      </c>
      <c r="F224" s="30" t="s">
        <v>116</v>
      </c>
      <c r="G224" s="30" t="s">
        <v>33</v>
      </c>
      <c r="H224" s="30" t="s">
        <v>64</v>
      </c>
      <c r="I224" s="2">
        <v>999.32</v>
      </c>
      <c r="K224" s="2">
        <v>0</v>
      </c>
      <c r="N224" s="2">
        <v>80</v>
      </c>
      <c r="P224" s="2">
        <v>306</v>
      </c>
      <c r="Q224" s="2">
        <v>1385.32</v>
      </c>
      <c r="S224" s="2">
        <v>1812293.64</v>
      </c>
      <c r="T224" s="1">
        <v>7.644015127703037E-4</v>
      </c>
    </row>
    <row r="225" spans="1:20" x14ac:dyDescent="0.3">
      <c r="A225" s="30" t="s">
        <v>71</v>
      </c>
      <c r="B225" s="30" t="s">
        <v>72</v>
      </c>
      <c r="C225" s="30" t="s">
        <v>273</v>
      </c>
      <c r="D225">
        <v>2025</v>
      </c>
      <c r="E225">
        <v>2006</v>
      </c>
      <c r="F225" s="30" t="s">
        <v>117</v>
      </c>
      <c r="G225" s="30" t="s">
        <v>33</v>
      </c>
      <c r="H225" s="30" t="s">
        <v>64</v>
      </c>
      <c r="I225" s="2">
        <v>1008.27</v>
      </c>
      <c r="K225" s="2">
        <v>0</v>
      </c>
      <c r="N225" s="2">
        <v>80</v>
      </c>
      <c r="P225" s="2">
        <v>306.8</v>
      </c>
      <c r="Q225" s="2">
        <v>1395.07</v>
      </c>
      <c r="S225" s="2">
        <v>1812293.64</v>
      </c>
      <c r="T225" s="1">
        <v>7.6978143563975645E-4</v>
      </c>
    </row>
    <row r="226" spans="1:20" x14ac:dyDescent="0.3">
      <c r="A226" s="30" t="s">
        <v>118</v>
      </c>
      <c r="B226" s="30" t="s">
        <v>119</v>
      </c>
      <c r="C226" s="30" t="s">
        <v>21</v>
      </c>
      <c r="D226">
        <v>2025</v>
      </c>
      <c r="E226">
        <v>290</v>
      </c>
      <c r="F226" s="30" t="s">
        <v>120</v>
      </c>
      <c r="G226" s="30" t="s">
        <v>33</v>
      </c>
      <c r="H226" s="30" t="s">
        <v>50</v>
      </c>
      <c r="I226" s="2">
        <v>3056.61</v>
      </c>
      <c r="J226" s="2">
        <v>2320.41</v>
      </c>
      <c r="K226" s="2">
        <v>633.47190000000001</v>
      </c>
      <c r="L226" s="2">
        <v>259.87</v>
      </c>
      <c r="M226" s="2">
        <v>308</v>
      </c>
      <c r="N226" s="2">
        <v>0</v>
      </c>
      <c r="O226" s="2">
        <v>0</v>
      </c>
      <c r="P226" s="2">
        <v>0</v>
      </c>
      <c r="Q226" s="2">
        <v>4257.9519</v>
      </c>
      <c r="R226" s="2">
        <v>16.75</v>
      </c>
      <c r="S226" s="2">
        <v>2348338.65</v>
      </c>
      <c r="T226" s="1">
        <v>1.813176276769111E-3</v>
      </c>
    </row>
    <row r="227" spans="1:20" x14ac:dyDescent="0.3">
      <c r="A227" s="30" t="s">
        <v>118</v>
      </c>
      <c r="B227" s="30" t="s">
        <v>119</v>
      </c>
      <c r="C227" s="30" t="s">
        <v>21</v>
      </c>
      <c r="D227">
        <v>2025</v>
      </c>
      <c r="E227">
        <v>294</v>
      </c>
      <c r="F227" s="30" t="s">
        <v>121</v>
      </c>
      <c r="G227" s="30" t="s">
        <v>39</v>
      </c>
      <c r="H227" s="30" t="s">
        <v>60</v>
      </c>
      <c r="I227" s="2">
        <v>1981.2</v>
      </c>
      <c r="J227" s="2">
        <v>1925.72</v>
      </c>
      <c r="K227" s="2">
        <v>525.72159999999997</v>
      </c>
      <c r="L227" s="2">
        <v>154.05000000000001</v>
      </c>
      <c r="M227" s="2">
        <v>308</v>
      </c>
      <c r="N227" s="2">
        <v>0</v>
      </c>
      <c r="O227" s="2">
        <v>0</v>
      </c>
      <c r="P227" s="2">
        <v>0</v>
      </c>
      <c r="Q227" s="2">
        <v>2968.9715999999999</v>
      </c>
      <c r="R227" s="2">
        <v>6.2</v>
      </c>
      <c r="S227" s="2">
        <v>2348338.65</v>
      </c>
      <c r="T227" s="1">
        <v>1.2642859495584251E-3</v>
      </c>
    </row>
    <row r="228" spans="1:20" x14ac:dyDescent="0.3">
      <c r="A228" s="30" t="s">
        <v>118</v>
      </c>
      <c r="B228" s="30" t="s">
        <v>119</v>
      </c>
      <c r="C228" s="30" t="s">
        <v>21</v>
      </c>
      <c r="D228">
        <v>2025</v>
      </c>
      <c r="E228">
        <v>92</v>
      </c>
      <c r="F228" s="30" t="s">
        <v>122</v>
      </c>
      <c r="G228" s="30" t="s">
        <v>29</v>
      </c>
      <c r="H228" s="30" t="s">
        <v>111</v>
      </c>
      <c r="I228" s="2">
        <v>2588.1799999999998</v>
      </c>
      <c r="J228" s="2">
        <v>2588.1799999999998</v>
      </c>
      <c r="K228" s="2">
        <v>706.57309999999995</v>
      </c>
      <c r="L228" s="2">
        <v>207.05</v>
      </c>
      <c r="M228" s="2">
        <v>400</v>
      </c>
      <c r="N228" s="2">
        <v>80</v>
      </c>
      <c r="O228" s="2">
        <v>0</v>
      </c>
      <c r="P228" s="2">
        <v>0</v>
      </c>
      <c r="Q228" s="2">
        <v>3981.8031000000001</v>
      </c>
      <c r="R228" s="2">
        <v>266.88</v>
      </c>
      <c r="S228" s="2">
        <v>2348338.65</v>
      </c>
      <c r="T228" s="1">
        <v>1.6955830199362433E-3</v>
      </c>
    </row>
    <row r="229" spans="1:20" x14ac:dyDescent="0.3">
      <c r="A229" s="30" t="s">
        <v>118</v>
      </c>
      <c r="B229" s="30" t="s">
        <v>119</v>
      </c>
      <c r="C229" s="30" t="s">
        <v>21</v>
      </c>
      <c r="D229">
        <v>2025</v>
      </c>
      <c r="E229">
        <v>269</v>
      </c>
      <c r="F229" s="30" t="s">
        <v>123</v>
      </c>
      <c r="G229" s="30" t="s">
        <v>33</v>
      </c>
      <c r="H229" s="30" t="s">
        <v>94</v>
      </c>
      <c r="I229" s="2">
        <v>2501.14</v>
      </c>
      <c r="J229" s="2">
        <v>2393.3000000000002</v>
      </c>
      <c r="K229" s="2">
        <v>653.37090000000001</v>
      </c>
      <c r="L229" s="2">
        <v>191.46</v>
      </c>
      <c r="M229" s="2">
        <v>308</v>
      </c>
      <c r="N229" s="2">
        <v>0</v>
      </c>
      <c r="O229" s="2">
        <v>0</v>
      </c>
      <c r="P229" s="2">
        <v>306.8</v>
      </c>
      <c r="Q229" s="2">
        <v>3960.7709</v>
      </c>
      <c r="R229" s="2">
        <v>9.5</v>
      </c>
      <c r="S229" s="2">
        <v>2348338.65</v>
      </c>
      <c r="T229" s="1">
        <v>1.6866267989073891E-3</v>
      </c>
    </row>
    <row r="230" spans="1:20" x14ac:dyDescent="0.3">
      <c r="A230" s="30" t="s">
        <v>118</v>
      </c>
      <c r="B230" s="30" t="s">
        <v>119</v>
      </c>
      <c r="C230" s="30" t="s">
        <v>21</v>
      </c>
      <c r="D230">
        <v>2025</v>
      </c>
      <c r="E230">
        <v>279</v>
      </c>
      <c r="F230" s="30" t="s">
        <v>124</v>
      </c>
      <c r="G230" s="30" t="s">
        <v>125</v>
      </c>
      <c r="H230" s="30" t="s">
        <v>126</v>
      </c>
      <c r="I230" s="2">
        <v>2369.63</v>
      </c>
      <c r="J230" s="2">
        <v>647.37</v>
      </c>
      <c r="K230" s="2">
        <v>176.732</v>
      </c>
      <c r="L230" s="2">
        <v>72.489999999999995</v>
      </c>
      <c r="M230" s="2">
        <v>0</v>
      </c>
      <c r="N230" s="2">
        <v>0</v>
      </c>
      <c r="O230" s="2">
        <v>0</v>
      </c>
      <c r="P230" s="2">
        <v>0</v>
      </c>
      <c r="Q230" s="2">
        <v>2618.8519999999999</v>
      </c>
      <c r="R230" s="2">
        <v>0</v>
      </c>
      <c r="S230" s="2">
        <v>2348338.65</v>
      </c>
      <c r="T230" s="1">
        <v>1.115193504991284E-3</v>
      </c>
    </row>
    <row r="231" spans="1:20" x14ac:dyDescent="0.3">
      <c r="A231" s="30" t="s">
        <v>118</v>
      </c>
      <c r="B231" s="30" t="s">
        <v>119</v>
      </c>
      <c r="C231" s="30" t="s">
        <v>21</v>
      </c>
      <c r="D231">
        <v>2025</v>
      </c>
      <c r="E231">
        <v>292</v>
      </c>
      <c r="F231" s="30" t="s">
        <v>127</v>
      </c>
      <c r="G231" s="30" t="s">
        <v>125</v>
      </c>
      <c r="H231" s="30" t="s">
        <v>126</v>
      </c>
      <c r="I231" s="2">
        <v>2174.7600000000002</v>
      </c>
      <c r="J231" s="2">
        <v>2174.7600000000002</v>
      </c>
      <c r="K231" s="2">
        <v>593.70950000000005</v>
      </c>
      <c r="L231" s="2">
        <v>173.98</v>
      </c>
      <c r="M231" s="2">
        <v>336</v>
      </c>
      <c r="N231" s="2">
        <v>0</v>
      </c>
      <c r="O231" s="2">
        <v>0</v>
      </c>
      <c r="P231" s="2">
        <v>0</v>
      </c>
      <c r="Q231" s="2">
        <v>3278.4495000000002</v>
      </c>
      <c r="R231" s="2">
        <v>199.76</v>
      </c>
      <c r="S231" s="2">
        <v>2348338.65</v>
      </c>
      <c r="T231" s="1">
        <v>1.3960718484959571E-3</v>
      </c>
    </row>
    <row r="232" spans="1:20" x14ac:dyDescent="0.3">
      <c r="A232" s="30" t="s">
        <v>118</v>
      </c>
      <c r="B232" s="30" t="s">
        <v>119</v>
      </c>
      <c r="C232" s="30" t="s">
        <v>21</v>
      </c>
      <c r="D232">
        <v>2025</v>
      </c>
      <c r="E232">
        <v>293</v>
      </c>
      <c r="F232" s="30" t="s">
        <v>128</v>
      </c>
      <c r="G232" s="30" t="s">
        <v>89</v>
      </c>
      <c r="H232" s="30" t="s">
        <v>50</v>
      </c>
      <c r="I232" s="2">
        <v>2147.27</v>
      </c>
      <c r="J232" s="2">
        <v>2147.27</v>
      </c>
      <c r="K232" s="2">
        <v>586.2047</v>
      </c>
      <c r="L232" s="2">
        <v>171.78</v>
      </c>
      <c r="M232" s="2">
        <v>308</v>
      </c>
      <c r="N232" s="2">
        <v>0</v>
      </c>
      <c r="O232" s="2">
        <v>0</v>
      </c>
      <c r="P232" s="2">
        <v>306.8</v>
      </c>
      <c r="Q232" s="2">
        <v>3520.0547000000001</v>
      </c>
      <c r="R232" s="2">
        <v>172.27</v>
      </c>
      <c r="S232" s="2">
        <v>2348338.65</v>
      </c>
      <c r="T232" s="1">
        <v>1.4989553189017268E-3</v>
      </c>
    </row>
    <row r="233" spans="1:20" x14ac:dyDescent="0.3">
      <c r="A233" s="30" t="s">
        <v>118</v>
      </c>
      <c r="B233" s="30" t="s">
        <v>119</v>
      </c>
      <c r="C233" s="30" t="s">
        <v>21</v>
      </c>
      <c r="D233">
        <v>2025</v>
      </c>
      <c r="E233">
        <v>248</v>
      </c>
      <c r="F233" s="30" t="s">
        <v>129</v>
      </c>
      <c r="G233" s="30" t="s">
        <v>125</v>
      </c>
      <c r="H233" s="30" t="s">
        <v>126</v>
      </c>
      <c r="I233" s="2">
        <v>2179.56</v>
      </c>
      <c r="J233" s="2">
        <v>2176.15</v>
      </c>
      <c r="K233" s="2">
        <v>594.08900000000006</v>
      </c>
      <c r="L233" s="2">
        <v>174.09</v>
      </c>
      <c r="M233" s="2">
        <v>336</v>
      </c>
      <c r="N233" s="2">
        <v>0</v>
      </c>
      <c r="O233" s="2">
        <v>0</v>
      </c>
      <c r="P233" s="2">
        <v>0</v>
      </c>
      <c r="Q233" s="2">
        <v>3283.7388999999998</v>
      </c>
      <c r="R233" s="2">
        <v>110.94</v>
      </c>
      <c r="S233" s="2">
        <v>2348338.65</v>
      </c>
      <c r="T233" s="1">
        <v>1.3983242791664652E-3</v>
      </c>
    </row>
    <row r="234" spans="1:20" x14ac:dyDescent="0.3">
      <c r="A234" s="30" t="s">
        <v>118</v>
      </c>
      <c r="B234" s="30" t="s">
        <v>119</v>
      </c>
      <c r="C234" s="30" t="s">
        <v>21</v>
      </c>
      <c r="D234">
        <v>2025</v>
      </c>
      <c r="E234">
        <v>234</v>
      </c>
      <c r="F234" s="30" t="s">
        <v>130</v>
      </c>
      <c r="G234" s="30" t="s">
        <v>29</v>
      </c>
      <c r="H234" s="30" t="s">
        <v>30</v>
      </c>
      <c r="I234" s="2">
        <v>2331.39</v>
      </c>
      <c r="J234" s="2">
        <v>2122.6</v>
      </c>
      <c r="K234" s="2">
        <v>579.46979999999996</v>
      </c>
      <c r="L234" s="2">
        <v>169.8</v>
      </c>
      <c r="M234" s="2">
        <v>308</v>
      </c>
      <c r="N234" s="2">
        <v>0</v>
      </c>
      <c r="O234" s="2">
        <v>0</v>
      </c>
      <c r="P234" s="2">
        <v>0</v>
      </c>
      <c r="Q234" s="2">
        <v>3388.6597999999999</v>
      </c>
      <c r="R234" s="2">
        <v>0</v>
      </c>
      <c r="S234" s="2">
        <v>2348338.65</v>
      </c>
      <c r="T234" s="1">
        <v>1.4430030353586353E-3</v>
      </c>
    </row>
    <row r="235" spans="1:20" x14ac:dyDescent="0.3">
      <c r="A235" s="30" t="s">
        <v>118</v>
      </c>
      <c r="B235" s="30" t="s">
        <v>119</v>
      </c>
      <c r="C235" s="30" t="s">
        <v>21</v>
      </c>
      <c r="D235">
        <v>2025</v>
      </c>
      <c r="E235">
        <v>273</v>
      </c>
      <c r="F235" s="30" t="s">
        <v>131</v>
      </c>
      <c r="G235" s="30" t="s">
        <v>125</v>
      </c>
      <c r="H235" s="30" t="s">
        <v>126</v>
      </c>
      <c r="I235" s="2">
        <v>2234.12</v>
      </c>
      <c r="J235" s="2">
        <v>2232.14</v>
      </c>
      <c r="K235" s="2">
        <v>609.37419999999997</v>
      </c>
      <c r="L235" s="2">
        <v>178.57</v>
      </c>
      <c r="M235" s="2">
        <v>336</v>
      </c>
      <c r="N235" s="2">
        <v>80</v>
      </c>
      <c r="O235" s="2">
        <v>0</v>
      </c>
      <c r="P235" s="2">
        <v>0</v>
      </c>
      <c r="Q235" s="2">
        <v>3438.0641999999998</v>
      </c>
      <c r="R235" s="2">
        <v>163.38999999999999</v>
      </c>
      <c r="S235" s="2">
        <v>2348338.65</v>
      </c>
      <c r="T235" s="1">
        <v>1.4640410657977292E-3</v>
      </c>
    </row>
    <row r="236" spans="1:20" x14ac:dyDescent="0.3">
      <c r="A236" s="30" t="s">
        <v>118</v>
      </c>
      <c r="B236" s="30" t="s">
        <v>119</v>
      </c>
      <c r="C236" s="30" t="s">
        <v>21</v>
      </c>
      <c r="D236">
        <v>2025</v>
      </c>
      <c r="E236">
        <v>76</v>
      </c>
      <c r="F236" s="30" t="s">
        <v>132</v>
      </c>
      <c r="G236" s="30" t="s">
        <v>125</v>
      </c>
      <c r="H236" s="30" t="s">
        <v>133</v>
      </c>
      <c r="I236" s="2">
        <v>3081</v>
      </c>
      <c r="J236" s="2">
        <v>3081</v>
      </c>
      <c r="K236" s="2">
        <v>841.11300000000006</v>
      </c>
      <c r="L236" s="2">
        <v>246.48</v>
      </c>
      <c r="M236" s="2">
        <v>400</v>
      </c>
      <c r="N236" s="2">
        <v>80</v>
      </c>
      <c r="O236" s="2">
        <v>122.84</v>
      </c>
      <c r="P236" s="2">
        <v>0</v>
      </c>
      <c r="Q236" s="2">
        <v>4771.433</v>
      </c>
      <c r="R236" s="2">
        <v>636.77</v>
      </c>
      <c r="S236" s="2">
        <v>2348338.65</v>
      </c>
      <c r="T236" s="1">
        <v>2.0318334410584266E-3</v>
      </c>
    </row>
    <row r="237" spans="1:20" x14ac:dyDescent="0.3">
      <c r="A237" s="30" t="s">
        <v>118</v>
      </c>
      <c r="B237" s="30" t="s">
        <v>119</v>
      </c>
      <c r="C237" s="30" t="s">
        <v>21</v>
      </c>
      <c r="D237">
        <v>2025</v>
      </c>
      <c r="E237">
        <v>297</v>
      </c>
      <c r="F237" s="30" t="s">
        <v>134</v>
      </c>
      <c r="G237" s="30" t="s">
        <v>33</v>
      </c>
      <c r="H237" s="30" t="s">
        <v>50</v>
      </c>
      <c r="I237" s="2">
        <v>2031.98</v>
      </c>
      <c r="J237" s="2">
        <v>2007.74</v>
      </c>
      <c r="K237" s="2">
        <v>548.11300000000006</v>
      </c>
      <c r="L237" s="2">
        <v>160.61000000000001</v>
      </c>
      <c r="M237" s="2">
        <v>308</v>
      </c>
      <c r="N237" s="2">
        <v>0</v>
      </c>
      <c r="O237" s="2">
        <v>0</v>
      </c>
      <c r="P237" s="2">
        <v>0</v>
      </c>
      <c r="Q237" s="2">
        <v>3048.703</v>
      </c>
      <c r="R237" s="2">
        <v>56.98</v>
      </c>
      <c r="S237" s="2">
        <v>2348338.65</v>
      </c>
      <c r="T237" s="1">
        <v>1.2982382332292659E-3</v>
      </c>
    </row>
    <row r="238" spans="1:20" x14ac:dyDescent="0.3">
      <c r="A238" s="30" t="s">
        <v>118</v>
      </c>
      <c r="B238" s="30" t="s">
        <v>119</v>
      </c>
      <c r="C238" s="30" t="s">
        <v>21</v>
      </c>
      <c r="D238">
        <v>2025</v>
      </c>
      <c r="E238">
        <v>296</v>
      </c>
      <c r="F238" s="30" t="s">
        <v>135</v>
      </c>
      <c r="G238" s="30" t="s">
        <v>29</v>
      </c>
      <c r="H238" s="30" t="s">
        <v>30</v>
      </c>
      <c r="I238" s="2">
        <v>2262.11</v>
      </c>
      <c r="J238" s="2">
        <v>2226.85</v>
      </c>
      <c r="K238" s="2">
        <v>607.93010000000004</v>
      </c>
      <c r="L238" s="2">
        <v>178.14</v>
      </c>
      <c r="M238" s="2">
        <v>308</v>
      </c>
      <c r="N238" s="2">
        <v>0</v>
      </c>
      <c r="O238" s="2">
        <v>0</v>
      </c>
      <c r="P238" s="2">
        <v>306.8</v>
      </c>
      <c r="Q238" s="2">
        <v>3662.9801000000002</v>
      </c>
      <c r="R238" s="2">
        <v>41.11</v>
      </c>
      <c r="S238" s="2">
        <v>2348338.65</v>
      </c>
      <c r="T238" s="1">
        <v>1.5598176395895883E-3</v>
      </c>
    </row>
    <row r="239" spans="1:20" x14ac:dyDescent="0.3">
      <c r="A239" s="30" t="s">
        <v>118</v>
      </c>
      <c r="B239" s="30" t="s">
        <v>119</v>
      </c>
      <c r="C239" s="30" t="s">
        <v>21</v>
      </c>
      <c r="D239">
        <v>2025</v>
      </c>
      <c r="E239">
        <v>284</v>
      </c>
      <c r="F239" s="30" t="s">
        <v>136</v>
      </c>
      <c r="G239" s="30" t="s">
        <v>33</v>
      </c>
      <c r="H239" s="30" t="s">
        <v>50</v>
      </c>
      <c r="I239" s="2">
        <v>2038.73</v>
      </c>
      <c r="J239" s="2">
        <v>2038.73</v>
      </c>
      <c r="K239" s="2">
        <v>556.57330000000002</v>
      </c>
      <c r="L239" s="2">
        <v>163.09</v>
      </c>
      <c r="M239" s="2">
        <v>308</v>
      </c>
      <c r="N239" s="2">
        <v>80</v>
      </c>
      <c r="O239" s="2">
        <v>0</v>
      </c>
      <c r="P239" s="2">
        <v>0</v>
      </c>
      <c r="Q239" s="2">
        <v>3146.3933000000002</v>
      </c>
      <c r="R239" s="2">
        <v>14.25</v>
      </c>
      <c r="S239" s="2">
        <v>2348338.65</v>
      </c>
      <c r="T239" s="1">
        <v>1.3398379701326298E-3</v>
      </c>
    </row>
    <row r="240" spans="1:20" x14ac:dyDescent="0.3">
      <c r="A240" s="30" t="s">
        <v>118</v>
      </c>
      <c r="B240" s="30" t="s">
        <v>119</v>
      </c>
      <c r="C240" s="30" t="s">
        <v>21</v>
      </c>
      <c r="D240">
        <v>2025</v>
      </c>
      <c r="E240">
        <v>236</v>
      </c>
      <c r="F240" s="30" t="s">
        <v>137</v>
      </c>
      <c r="G240" s="30" t="s">
        <v>33</v>
      </c>
      <c r="H240" s="30" t="s">
        <v>50</v>
      </c>
      <c r="I240" s="2">
        <v>2767.14</v>
      </c>
      <c r="J240" s="2">
        <v>2498.94</v>
      </c>
      <c r="K240" s="2">
        <v>682.2106</v>
      </c>
      <c r="L240" s="2">
        <v>199.91</v>
      </c>
      <c r="M240" s="2">
        <v>0</v>
      </c>
      <c r="N240" s="2">
        <v>0</v>
      </c>
      <c r="O240" s="2">
        <v>0</v>
      </c>
      <c r="P240" s="2">
        <v>0</v>
      </c>
      <c r="Q240" s="2">
        <v>3649.2606000000001</v>
      </c>
      <c r="R240" s="2">
        <v>9.68</v>
      </c>
      <c r="S240" s="2">
        <v>2348338.65</v>
      </c>
      <c r="T240" s="1">
        <v>1.5539754540938974E-3</v>
      </c>
    </row>
    <row r="241" spans="1:20" x14ac:dyDescent="0.3">
      <c r="A241" s="30" t="s">
        <v>118</v>
      </c>
      <c r="B241" s="30" t="s">
        <v>119</v>
      </c>
      <c r="C241" s="30" t="s">
        <v>21</v>
      </c>
      <c r="D241">
        <v>2025</v>
      </c>
      <c r="E241">
        <v>266</v>
      </c>
      <c r="F241" s="30" t="s">
        <v>138</v>
      </c>
      <c r="G241" s="30" t="s">
        <v>29</v>
      </c>
      <c r="H241" s="30" t="s">
        <v>30</v>
      </c>
      <c r="I241" s="2">
        <v>2347.94</v>
      </c>
      <c r="J241" s="2">
        <v>2319.25</v>
      </c>
      <c r="K241" s="2">
        <v>633.15530000000001</v>
      </c>
      <c r="L241" s="2">
        <v>185.54</v>
      </c>
      <c r="M241" s="2">
        <v>308</v>
      </c>
      <c r="N241" s="2">
        <v>0</v>
      </c>
      <c r="O241" s="2">
        <v>0</v>
      </c>
      <c r="P241" s="2">
        <v>0</v>
      </c>
      <c r="Q241" s="2">
        <v>3474.6352999999999</v>
      </c>
      <c r="R241" s="2">
        <v>9.56</v>
      </c>
      <c r="S241" s="2">
        <v>2348338.65</v>
      </c>
      <c r="T241" s="1">
        <v>1.4796142157776095E-3</v>
      </c>
    </row>
    <row r="242" spans="1:20" x14ac:dyDescent="0.3">
      <c r="A242" s="30" t="s">
        <v>118</v>
      </c>
      <c r="B242" s="30" t="s">
        <v>119</v>
      </c>
      <c r="C242" s="30" t="s">
        <v>21</v>
      </c>
      <c r="D242">
        <v>2025</v>
      </c>
      <c r="E242">
        <v>288</v>
      </c>
      <c r="F242" s="30" t="s">
        <v>139</v>
      </c>
      <c r="G242" s="30" t="s">
        <v>26</v>
      </c>
      <c r="H242" s="30" t="s">
        <v>60</v>
      </c>
      <c r="I242" s="2">
        <v>2650.37</v>
      </c>
      <c r="J242" s="2">
        <v>864.37</v>
      </c>
      <c r="K242" s="2">
        <v>235.97300000000001</v>
      </c>
      <c r="L242" s="2">
        <v>69.14</v>
      </c>
      <c r="M242" s="2">
        <v>308</v>
      </c>
      <c r="N242" s="2">
        <v>0</v>
      </c>
      <c r="O242" s="2">
        <v>0</v>
      </c>
      <c r="P242" s="2">
        <v>0</v>
      </c>
      <c r="Q242" s="2">
        <v>3263.4830000000002</v>
      </c>
      <c r="R242" s="2">
        <v>18.96</v>
      </c>
      <c r="S242" s="2">
        <v>2348338.65</v>
      </c>
      <c r="T242" s="1">
        <v>1.3896986322649845E-3</v>
      </c>
    </row>
    <row r="243" spans="1:20" x14ac:dyDescent="0.3">
      <c r="A243" s="30" t="s">
        <v>118</v>
      </c>
      <c r="B243" s="30" t="s">
        <v>119</v>
      </c>
      <c r="C243" s="30" t="s">
        <v>21</v>
      </c>
      <c r="D243">
        <v>2025</v>
      </c>
      <c r="E243">
        <v>242</v>
      </c>
      <c r="F243" s="30" t="s">
        <v>140</v>
      </c>
      <c r="G243" s="30" t="s">
        <v>29</v>
      </c>
      <c r="H243" s="30" t="s">
        <v>111</v>
      </c>
      <c r="I243" s="2">
        <v>2602.1799999999998</v>
      </c>
      <c r="J243" s="2">
        <v>2602.1799999999998</v>
      </c>
      <c r="K243" s="2">
        <v>710.39509999999996</v>
      </c>
      <c r="L243" s="2">
        <v>208.17</v>
      </c>
      <c r="M243" s="2">
        <v>400</v>
      </c>
      <c r="N243" s="2">
        <v>80</v>
      </c>
      <c r="O243" s="2">
        <v>0</v>
      </c>
      <c r="P243" s="2">
        <v>0</v>
      </c>
      <c r="Q243" s="2">
        <v>4000.7451000000001</v>
      </c>
      <c r="R243" s="2">
        <v>147.72</v>
      </c>
      <c r="S243" s="2">
        <v>2348338.65</v>
      </c>
      <c r="T243" s="1">
        <v>1.7036491478773729E-3</v>
      </c>
    </row>
    <row r="244" spans="1:20" x14ac:dyDescent="0.3">
      <c r="A244" s="30" t="s">
        <v>118</v>
      </c>
      <c r="B244" s="30" t="s">
        <v>119</v>
      </c>
      <c r="C244" s="30" t="s">
        <v>21</v>
      </c>
      <c r="D244">
        <v>2025</v>
      </c>
      <c r="E244">
        <v>78</v>
      </c>
      <c r="F244" s="30" t="s">
        <v>141</v>
      </c>
      <c r="G244" s="30" t="s">
        <v>29</v>
      </c>
      <c r="H244" s="30" t="s">
        <v>30</v>
      </c>
      <c r="I244" s="2">
        <v>2345.2800000000002</v>
      </c>
      <c r="J244" s="2">
        <v>2271.39</v>
      </c>
      <c r="K244" s="2">
        <v>620.08950000000004</v>
      </c>
      <c r="L244" s="2">
        <v>181.71</v>
      </c>
      <c r="M244" s="2">
        <v>308</v>
      </c>
      <c r="N244" s="2">
        <v>0</v>
      </c>
      <c r="O244" s="2">
        <v>122.84</v>
      </c>
      <c r="P244" s="2">
        <v>0</v>
      </c>
      <c r="Q244" s="2">
        <v>3577.9195</v>
      </c>
      <c r="R244" s="2">
        <v>3.24</v>
      </c>
      <c r="S244" s="2">
        <v>2348338.65</v>
      </c>
      <c r="T244" s="1">
        <v>1.523596040971348E-3</v>
      </c>
    </row>
    <row r="245" spans="1:20" x14ac:dyDescent="0.3">
      <c r="A245" s="30" t="s">
        <v>118</v>
      </c>
      <c r="B245" s="30" t="s">
        <v>119</v>
      </c>
      <c r="C245" s="30" t="s">
        <v>21</v>
      </c>
      <c r="D245">
        <v>2025</v>
      </c>
      <c r="E245">
        <v>286</v>
      </c>
      <c r="F245" s="30" t="s">
        <v>142</v>
      </c>
      <c r="G245" s="30" t="s">
        <v>26</v>
      </c>
      <c r="H245" s="30" t="s">
        <v>60</v>
      </c>
      <c r="I245" s="2">
        <v>2076.87</v>
      </c>
      <c r="J245" s="2">
        <v>2064.0300000000002</v>
      </c>
      <c r="K245" s="2">
        <v>563.48019999999997</v>
      </c>
      <c r="L245" s="2">
        <v>165.12</v>
      </c>
      <c r="M245" s="2">
        <v>308</v>
      </c>
      <c r="N245" s="2">
        <v>0</v>
      </c>
      <c r="O245" s="2">
        <v>0</v>
      </c>
      <c r="P245" s="2">
        <v>0</v>
      </c>
      <c r="Q245" s="2">
        <v>3113.4702000000002</v>
      </c>
      <c r="R245" s="2">
        <v>68.709999999999994</v>
      </c>
      <c r="S245" s="2">
        <v>2348338.65</v>
      </c>
      <c r="T245" s="1">
        <v>1.325818228984989E-3</v>
      </c>
    </row>
    <row r="246" spans="1:20" x14ac:dyDescent="0.3">
      <c r="A246" s="30" t="s">
        <v>118</v>
      </c>
      <c r="B246" s="30" t="s">
        <v>119</v>
      </c>
      <c r="C246" s="30" t="s">
        <v>21</v>
      </c>
      <c r="D246">
        <v>2025</v>
      </c>
      <c r="E246">
        <v>262</v>
      </c>
      <c r="F246" s="30" t="s">
        <v>143</v>
      </c>
      <c r="G246" s="30" t="s">
        <v>29</v>
      </c>
      <c r="H246" s="30" t="s">
        <v>111</v>
      </c>
      <c r="I246" s="2">
        <v>2583.67</v>
      </c>
      <c r="J246" s="2">
        <v>2583.67</v>
      </c>
      <c r="K246" s="2">
        <v>705.34190000000001</v>
      </c>
      <c r="L246" s="2">
        <v>206.69</v>
      </c>
      <c r="M246" s="2">
        <v>400</v>
      </c>
      <c r="N246" s="2">
        <v>80</v>
      </c>
      <c r="O246" s="2">
        <v>0</v>
      </c>
      <c r="P246" s="2">
        <v>0</v>
      </c>
      <c r="Q246" s="2">
        <v>3975.7019</v>
      </c>
      <c r="R246" s="2">
        <v>126.44</v>
      </c>
      <c r="S246" s="2">
        <v>2348338.65</v>
      </c>
      <c r="T246" s="1">
        <v>1.6929849151015764E-3</v>
      </c>
    </row>
    <row r="247" spans="1:20" x14ac:dyDescent="0.3">
      <c r="A247" s="30" t="s">
        <v>118</v>
      </c>
      <c r="B247" s="30" t="s">
        <v>119</v>
      </c>
      <c r="C247" s="30" t="s">
        <v>21</v>
      </c>
      <c r="D247">
        <v>2025</v>
      </c>
      <c r="E247">
        <v>252</v>
      </c>
      <c r="F247" s="30" t="s">
        <v>144</v>
      </c>
      <c r="G247" s="30" t="s">
        <v>29</v>
      </c>
      <c r="H247" s="30" t="s">
        <v>30</v>
      </c>
      <c r="I247" s="2">
        <v>2395.27</v>
      </c>
      <c r="J247" s="2">
        <v>2395.27</v>
      </c>
      <c r="K247" s="2">
        <v>653.90869999999995</v>
      </c>
      <c r="L247" s="2">
        <v>191.62</v>
      </c>
      <c r="M247" s="2">
        <v>308</v>
      </c>
      <c r="N247" s="2">
        <v>80</v>
      </c>
      <c r="O247" s="2">
        <v>122.84</v>
      </c>
      <c r="P247" s="2">
        <v>0</v>
      </c>
      <c r="Q247" s="2">
        <v>3751.6387</v>
      </c>
      <c r="R247" s="2">
        <v>53.19</v>
      </c>
      <c r="S247" s="2">
        <v>2348338.65</v>
      </c>
      <c r="T247" s="1">
        <v>1.5975714192669784E-3</v>
      </c>
    </row>
    <row r="248" spans="1:20" x14ac:dyDescent="0.3">
      <c r="A248" s="30" t="s">
        <v>118</v>
      </c>
      <c r="B248" s="30" t="s">
        <v>119</v>
      </c>
      <c r="C248" s="30" t="s">
        <v>21</v>
      </c>
      <c r="D248">
        <v>2025</v>
      </c>
      <c r="E248">
        <v>274</v>
      </c>
      <c r="F248" s="30" t="s">
        <v>145</v>
      </c>
      <c r="G248" s="30" t="s">
        <v>33</v>
      </c>
      <c r="H248" s="30" t="s">
        <v>50</v>
      </c>
      <c r="I248" s="2">
        <v>2177.54</v>
      </c>
      <c r="J248" s="2">
        <v>2102.85</v>
      </c>
      <c r="K248" s="2">
        <v>574.07799999999997</v>
      </c>
      <c r="L248" s="2">
        <v>168.22</v>
      </c>
      <c r="M248" s="2">
        <v>308</v>
      </c>
      <c r="N248" s="2">
        <v>0</v>
      </c>
      <c r="O248" s="2">
        <v>0</v>
      </c>
      <c r="P248" s="2">
        <v>0</v>
      </c>
      <c r="Q248" s="2">
        <v>3227.8380000000002</v>
      </c>
      <c r="R248" s="2">
        <v>89.15</v>
      </c>
      <c r="S248" s="2">
        <v>2348338.65</v>
      </c>
      <c r="T248" s="1">
        <v>1.3745198334149974E-3</v>
      </c>
    </row>
    <row r="249" spans="1:20" x14ac:dyDescent="0.3">
      <c r="A249" s="30" t="s">
        <v>118</v>
      </c>
      <c r="B249" s="30" t="s">
        <v>119</v>
      </c>
      <c r="C249" s="30" t="s">
        <v>21</v>
      </c>
      <c r="D249">
        <v>2025</v>
      </c>
      <c r="E249">
        <v>183</v>
      </c>
      <c r="F249" s="30" t="s">
        <v>146</v>
      </c>
      <c r="G249" s="30" t="s">
        <v>125</v>
      </c>
      <c r="H249" s="30" t="s">
        <v>126</v>
      </c>
      <c r="I249" s="2">
        <v>2226.4699999999998</v>
      </c>
      <c r="J249" s="2">
        <v>2224.67</v>
      </c>
      <c r="K249" s="2">
        <v>607.33489999999995</v>
      </c>
      <c r="L249" s="2">
        <v>177.97</v>
      </c>
      <c r="M249" s="2">
        <v>336</v>
      </c>
      <c r="N249" s="2">
        <v>80</v>
      </c>
      <c r="O249" s="2">
        <v>0</v>
      </c>
      <c r="P249" s="2">
        <v>0</v>
      </c>
      <c r="Q249" s="2">
        <v>3427.7748999999999</v>
      </c>
      <c r="R249" s="2">
        <v>147.81</v>
      </c>
      <c r="S249" s="2">
        <v>2348338.65</v>
      </c>
      <c r="T249" s="1">
        <v>1.4596595384571132E-3</v>
      </c>
    </row>
    <row r="250" spans="1:20" x14ac:dyDescent="0.3">
      <c r="A250" s="30" t="s">
        <v>118</v>
      </c>
      <c r="B250" s="30" t="s">
        <v>119</v>
      </c>
      <c r="C250" s="30" t="s">
        <v>21</v>
      </c>
      <c r="D250">
        <v>2025</v>
      </c>
      <c r="E250">
        <v>257</v>
      </c>
      <c r="F250" s="30" t="s">
        <v>147</v>
      </c>
      <c r="G250" s="30" t="s">
        <v>29</v>
      </c>
      <c r="H250" s="30" t="s">
        <v>30</v>
      </c>
      <c r="I250" s="2">
        <v>2349.19</v>
      </c>
      <c r="J250" s="2">
        <v>2237.4299999999998</v>
      </c>
      <c r="K250" s="2">
        <v>610.8184</v>
      </c>
      <c r="L250" s="2">
        <v>178.99</v>
      </c>
      <c r="M250" s="2">
        <v>308</v>
      </c>
      <c r="N250" s="2">
        <v>0</v>
      </c>
      <c r="O250" s="2">
        <v>0</v>
      </c>
      <c r="P250" s="2">
        <v>0</v>
      </c>
      <c r="Q250" s="2">
        <v>3446.9983999999999</v>
      </c>
      <c r="R250" s="2">
        <v>10.82</v>
      </c>
      <c r="S250" s="2">
        <v>2348338.65</v>
      </c>
      <c r="T250" s="1">
        <v>1.4678455298600139E-3</v>
      </c>
    </row>
    <row r="251" spans="1:20" x14ac:dyDescent="0.3">
      <c r="A251" s="30" t="s">
        <v>118</v>
      </c>
      <c r="B251" s="30" t="s">
        <v>119</v>
      </c>
      <c r="C251" s="30" t="s">
        <v>21</v>
      </c>
      <c r="D251">
        <v>2025</v>
      </c>
      <c r="E251">
        <v>241</v>
      </c>
      <c r="F251" s="30" t="s">
        <v>148</v>
      </c>
      <c r="G251" s="30" t="s">
        <v>29</v>
      </c>
      <c r="H251" s="30" t="s">
        <v>30</v>
      </c>
      <c r="I251" s="2">
        <v>2329.6999999999998</v>
      </c>
      <c r="J251" s="2">
        <v>2228.7600000000002</v>
      </c>
      <c r="K251" s="2">
        <v>608.45150000000001</v>
      </c>
      <c r="L251" s="2">
        <v>178.3</v>
      </c>
      <c r="M251" s="2">
        <v>308</v>
      </c>
      <c r="N251" s="2">
        <v>0</v>
      </c>
      <c r="O251" s="2">
        <v>0</v>
      </c>
      <c r="P251" s="2">
        <v>0</v>
      </c>
      <c r="Q251" s="2">
        <v>3424.4515000000001</v>
      </c>
      <c r="R251" s="2">
        <v>0</v>
      </c>
      <c r="S251" s="2">
        <v>2348338.65</v>
      </c>
      <c r="T251" s="1">
        <v>1.4582443124206126E-3</v>
      </c>
    </row>
    <row r="252" spans="1:20" x14ac:dyDescent="0.3">
      <c r="A252" s="30" t="s">
        <v>118</v>
      </c>
      <c r="B252" s="30" t="s">
        <v>119</v>
      </c>
      <c r="C252" s="30" t="s">
        <v>21</v>
      </c>
      <c r="D252">
        <v>2025</v>
      </c>
      <c r="E252">
        <v>128</v>
      </c>
      <c r="F252" s="30" t="s">
        <v>149</v>
      </c>
      <c r="G252" s="30" t="s">
        <v>33</v>
      </c>
      <c r="H252" s="30" t="s">
        <v>37</v>
      </c>
      <c r="I252" s="2">
        <v>3210.24</v>
      </c>
      <c r="J252" s="2">
        <v>3210.24</v>
      </c>
      <c r="K252" s="2">
        <v>876.39549999999997</v>
      </c>
      <c r="L252" s="2">
        <v>256.81</v>
      </c>
      <c r="M252" s="2">
        <v>500</v>
      </c>
      <c r="N252" s="2">
        <v>80</v>
      </c>
      <c r="O252" s="2">
        <v>0</v>
      </c>
      <c r="P252" s="2">
        <v>0</v>
      </c>
      <c r="Q252" s="2">
        <v>4923.4454999999998</v>
      </c>
      <c r="R252" s="2">
        <v>380.54</v>
      </c>
      <c r="S252" s="2">
        <v>2348338.65</v>
      </c>
      <c r="T252" s="1">
        <v>2.0965653825098861E-3</v>
      </c>
    </row>
    <row r="253" spans="1:20" x14ac:dyDescent="0.3">
      <c r="A253" s="30" t="s">
        <v>118</v>
      </c>
      <c r="B253" s="30" t="s">
        <v>119</v>
      </c>
      <c r="C253" s="30" t="s">
        <v>21</v>
      </c>
      <c r="D253">
        <v>2025</v>
      </c>
      <c r="E253">
        <v>289</v>
      </c>
      <c r="F253" s="30" t="s">
        <v>150</v>
      </c>
      <c r="G253" s="30" t="s">
        <v>39</v>
      </c>
      <c r="H253" s="30" t="s">
        <v>57</v>
      </c>
      <c r="I253" s="2">
        <v>2222.61</v>
      </c>
      <c r="J253" s="2">
        <v>786.11</v>
      </c>
      <c r="K253" s="2">
        <v>214.608</v>
      </c>
      <c r="L253" s="2">
        <v>346.67</v>
      </c>
      <c r="M253" s="2">
        <v>628</v>
      </c>
      <c r="N253" s="2">
        <v>0</v>
      </c>
      <c r="O253" s="2">
        <v>0</v>
      </c>
      <c r="P253" s="2">
        <v>0</v>
      </c>
      <c r="Q253" s="2">
        <v>3411.8879999999999</v>
      </c>
      <c r="R253" s="2">
        <v>13.38</v>
      </c>
      <c r="S253" s="2">
        <v>2348338.65</v>
      </c>
      <c r="T253" s="1">
        <v>1.4528943813108047E-3</v>
      </c>
    </row>
    <row r="254" spans="1:20" x14ac:dyDescent="0.3">
      <c r="A254" s="30" t="s">
        <v>118</v>
      </c>
      <c r="B254" s="30" t="s">
        <v>119</v>
      </c>
      <c r="C254" s="30" t="s">
        <v>21</v>
      </c>
      <c r="D254">
        <v>2025</v>
      </c>
      <c r="E254">
        <v>261</v>
      </c>
      <c r="F254" s="30" t="s">
        <v>151</v>
      </c>
      <c r="G254" s="30" t="s">
        <v>29</v>
      </c>
      <c r="H254" s="30" t="s">
        <v>30</v>
      </c>
      <c r="I254" s="2">
        <v>2347.89</v>
      </c>
      <c r="J254" s="2">
        <v>2340.16</v>
      </c>
      <c r="K254" s="2">
        <v>638.86369999999999</v>
      </c>
      <c r="L254" s="2">
        <v>187.21</v>
      </c>
      <c r="M254" s="2">
        <v>308</v>
      </c>
      <c r="N254" s="2">
        <v>0</v>
      </c>
      <c r="O254" s="2">
        <v>0</v>
      </c>
      <c r="P254" s="2">
        <v>0</v>
      </c>
      <c r="Q254" s="2">
        <v>3481.9636999999998</v>
      </c>
      <c r="R254" s="2">
        <v>7.76</v>
      </c>
      <c r="S254" s="2">
        <v>2348338.65</v>
      </c>
      <c r="T254" s="1">
        <v>1.4827349028216179E-3</v>
      </c>
    </row>
    <row r="255" spans="1:20" x14ac:dyDescent="0.3">
      <c r="A255" s="30" t="s">
        <v>118</v>
      </c>
      <c r="B255" s="30" t="s">
        <v>119</v>
      </c>
      <c r="C255" s="30" t="s">
        <v>21</v>
      </c>
      <c r="D255">
        <v>2025</v>
      </c>
      <c r="E255">
        <v>175</v>
      </c>
      <c r="F255" s="30" t="s">
        <v>152</v>
      </c>
      <c r="G255" s="30" t="s">
        <v>39</v>
      </c>
      <c r="H255" s="30" t="s">
        <v>55</v>
      </c>
      <c r="I255" s="2">
        <v>2374.04</v>
      </c>
      <c r="J255" s="2">
        <v>2289.29</v>
      </c>
      <c r="K255" s="2">
        <v>624.97619999999995</v>
      </c>
      <c r="L255" s="2">
        <v>183.14</v>
      </c>
      <c r="M255" s="2">
        <v>308</v>
      </c>
      <c r="N255" s="2">
        <v>0</v>
      </c>
      <c r="O255" s="2">
        <v>0</v>
      </c>
      <c r="P255" s="2">
        <v>0</v>
      </c>
      <c r="Q255" s="2">
        <v>3490.1561999999999</v>
      </c>
      <c r="R255" s="2">
        <v>7.22</v>
      </c>
      <c r="S255" s="2">
        <v>2348338.65</v>
      </c>
      <c r="T255" s="1">
        <v>1.486223535093629E-3</v>
      </c>
    </row>
    <row r="256" spans="1:20" x14ac:dyDescent="0.3">
      <c r="A256" s="30" t="s">
        <v>118</v>
      </c>
      <c r="B256" s="30" t="s">
        <v>119</v>
      </c>
      <c r="C256" s="30" t="s">
        <v>21</v>
      </c>
      <c r="D256">
        <v>2025</v>
      </c>
      <c r="E256">
        <v>124</v>
      </c>
      <c r="F256" s="30" t="s">
        <v>153</v>
      </c>
      <c r="G256" s="30" t="s">
        <v>33</v>
      </c>
      <c r="H256" s="30" t="s">
        <v>37</v>
      </c>
      <c r="I256" s="2">
        <v>3135.93</v>
      </c>
      <c r="J256" s="2">
        <v>3135.93</v>
      </c>
      <c r="K256" s="2">
        <v>856.10889999999995</v>
      </c>
      <c r="L256" s="2">
        <v>250.87</v>
      </c>
      <c r="M256" s="2">
        <v>500</v>
      </c>
      <c r="N256" s="2">
        <v>0</v>
      </c>
      <c r="O256" s="2">
        <v>0</v>
      </c>
      <c r="P256" s="2">
        <v>0</v>
      </c>
      <c r="Q256" s="2">
        <v>4742.9089000000004</v>
      </c>
      <c r="R256" s="2">
        <v>319.19</v>
      </c>
      <c r="S256" s="2">
        <v>2348338.65</v>
      </c>
      <c r="T256" s="1">
        <v>2.0196869348464712E-3</v>
      </c>
    </row>
    <row r="257" spans="1:20" x14ac:dyDescent="0.3">
      <c r="A257" s="30" t="s">
        <v>118</v>
      </c>
      <c r="B257" s="30" t="s">
        <v>119</v>
      </c>
      <c r="C257" s="30" t="s">
        <v>21</v>
      </c>
      <c r="D257">
        <v>2025</v>
      </c>
      <c r="E257">
        <v>206</v>
      </c>
      <c r="F257" s="30" t="s">
        <v>154</v>
      </c>
      <c r="G257" s="30" t="s">
        <v>33</v>
      </c>
      <c r="H257" s="30" t="s">
        <v>94</v>
      </c>
      <c r="I257" s="2">
        <v>2402.1</v>
      </c>
      <c r="J257" s="2">
        <v>2402.1</v>
      </c>
      <c r="K257" s="2">
        <v>655.77329999999995</v>
      </c>
      <c r="L257" s="2">
        <v>192.16</v>
      </c>
      <c r="M257" s="2">
        <v>322</v>
      </c>
      <c r="N257" s="2">
        <v>0</v>
      </c>
      <c r="O257" s="2">
        <v>0</v>
      </c>
      <c r="P257" s="2">
        <v>0</v>
      </c>
      <c r="Q257" s="2">
        <v>3572.0333000000001</v>
      </c>
      <c r="R257" s="2">
        <v>42.35</v>
      </c>
      <c r="S257" s="2">
        <v>2348338.65</v>
      </c>
      <c r="T257" s="1">
        <v>1.5210895157732043E-3</v>
      </c>
    </row>
    <row r="258" spans="1:20" x14ac:dyDescent="0.3">
      <c r="A258" s="30" t="s">
        <v>118</v>
      </c>
      <c r="B258" s="30" t="s">
        <v>119</v>
      </c>
      <c r="C258" s="30" t="s">
        <v>21</v>
      </c>
      <c r="D258">
        <v>2025</v>
      </c>
      <c r="E258">
        <v>239</v>
      </c>
      <c r="F258" s="30" t="s">
        <v>155</v>
      </c>
      <c r="G258" s="30" t="s">
        <v>26</v>
      </c>
      <c r="H258" s="30" t="s">
        <v>60</v>
      </c>
      <c r="I258" s="2">
        <v>2077.4699999999998</v>
      </c>
      <c r="J258" s="2">
        <v>1996.67</v>
      </c>
      <c r="K258" s="2">
        <v>545.09090000000003</v>
      </c>
      <c r="L258" s="2">
        <v>159.72999999999999</v>
      </c>
      <c r="M258" s="2">
        <v>308</v>
      </c>
      <c r="N258" s="2">
        <v>0</v>
      </c>
      <c r="O258" s="2">
        <v>0</v>
      </c>
      <c r="P258" s="2">
        <v>0</v>
      </c>
      <c r="Q258" s="2">
        <v>3090.2909</v>
      </c>
      <c r="R258" s="2">
        <v>0</v>
      </c>
      <c r="S258" s="2">
        <v>2348338.65</v>
      </c>
      <c r="T258" s="1">
        <v>1.3159477275562449E-3</v>
      </c>
    </row>
    <row r="259" spans="1:20" x14ac:dyDescent="0.3">
      <c r="A259" s="30" t="s">
        <v>118</v>
      </c>
      <c r="B259" s="30" t="s">
        <v>119</v>
      </c>
      <c r="C259" s="30" t="s">
        <v>21</v>
      </c>
      <c r="D259">
        <v>2025</v>
      </c>
      <c r="E259">
        <v>51</v>
      </c>
      <c r="F259" s="30" t="s">
        <v>156</v>
      </c>
      <c r="G259" s="30" t="s">
        <v>76</v>
      </c>
      <c r="H259" s="30" t="s">
        <v>76</v>
      </c>
      <c r="I259" s="2">
        <v>8157.41</v>
      </c>
      <c r="J259" s="2">
        <v>8157.41</v>
      </c>
      <c r="K259" s="2">
        <v>1631.482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9788.8919999999998</v>
      </c>
      <c r="R259" s="2">
        <v>0</v>
      </c>
      <c r="S259" s="2">
        <v>2348338.65</v>
      </c>
      <c r="T259" s="1">
        <v>4.1684328621001913E-3</v>
      </c>
    </row>
    <row r="260" spans="1:20" x14ac:dyDescent="0.3">
      <c r="A260" s="30" t="s">
        <v>118</v>
      </c>
      <c r="B260" s="30" t="s">
        <v>119</v>
      </c>
      <c r="C260" s="30" t="s">
        <v>21</v>
      </c>
      <c r="D260">
        <v>2025</v>
      </c>
      <c r="E260">
        <v>176</v>
      </c>
      <c r="F260" s="30" t="s">
        <v>157</v>
      </c>
      <c r="G260" s="30" t="s">
        <v>29</v>
      </c>
      <c r="H260" s="30" t="s">
        <v>111</v>
      </c>
      <c r="I260" s="2">
        <v>2630.52</v>
      </c>
      <c r="J260" s="2">
        <v>2630.52</v>
      </c>
      <c r="K260" s="2">
        <v>718.13199999999995</v>
      </c>
      <c r="L260" s="2">
        <v>210.44</v>
      </c>
      <c r="M260" s="2">
        <v>400</v>
      </c>
      <c r="N260" s="2">
        <v>80</v>
      </c>
      <c r="O260" s="2">
        <v>0</v>
      </c>
      <c r="P260" s="2">
        <v>0</v>
      </c>
      <c r="Q260" s="2">
        <v>4039.0920000000001</v>
      </c>
      <c r="R260" s="2">
        <v>55.15</v>
      </c>
      <c r="S260" s="2">
        <v>2348338.65</v>
      </c>
      <c r="T260" s="1">
        <v>1.7199784877704924E-3</v>
      </c>
    </row>
    <row r="261" spans="1:20" x14ac:dyDescent="0.3">
      <c r="A261" s="30" t="s">
        <v>118</v>
      </c>
      <c r="B261" s="30" t="s">
        <v>119</v>
      </c>
      <c r="C261" s="30" t="s">
        <v>21</v>
      </c>
      <c r="D261">
        <v>2025</v>
      </c>
      <c r="E261">
        <v>130</v>
      </c>
      <c r="F261" s="30" t="s">
        <v>158</v>
      </c>
      <c r="G261" s="30" t="s">
        <v>89</v>
      </c>
      <c r="H261" s="30" t="s">
        <v>34</v>
      </c>
      <c r="I261" s="2">
        <v>2202.89</v>
      </c>
      <c r="J261" s="2">
        <v>2046.21</v>
      </c>
      <c r="K261" s="2">
        <v>558.61530000000005</v>
      </c>
      <c r="L261" s="2">
        <v>163.69</v>
      </c>
      <c r="M261" s="2">
        <v>308</v>
      </c>
      <c r="N261" s="2">
        <v>0</v>
      </c>
      <c r="O261" s="2">
        <v>0</v>
      </c>
      <c r="P261" s="2">
        <v>0</v>
      </c>
      <c r="Q261" s="2">
        <v>3233.1952999999999</v>
      </c>
      <c r="R261" s="2">
        <v>14.46</v>
      </c>
      <c r="S261" s="2">
        <v>2348338.65</v>
      </c>
      <c r="T261" s="1">
        <v>1.3768011398185692E-3</v>
      </c>
    </row>
    <row r="262" spans="1:20" x14ac:dyDescent="0.3">
      <c r="A262" s="30" t="s">
        <v>118</v>
      </c>
      <c r="B262" s="30" t="s">
        <v>119</v>
      </c>
      <c r="C262" s="30" t="s">
        <v>21</v>
      </c>
      <c r="D262">
        <v>2025</v>
      </c>
      <c r="E262">
        <v>277</v>
      </c>
      <c r="F262" s="30" t="s">
        <v>159</v>
      </c>
      <c r="G262" s="30" t="s">
        <v>33</v>
      </c>
      <c r="H262" s="30" t="s">
        <v>34</v>
      </c>
      <c r="I262" s="2">
        <v>2252.63</v>
      </c>
      <c r="J262" s="2">
        <v>2235.91</v>
      </c>
      <c r="K262" s="2">
        <v>610.40340000000003</v>
      </c>
      <c r="L262" s="2">
        <v>178.87</v>
      </c>
      <c r="M262" s="2">
        <v>308</v>
      </c>
      <c r="N262" s="2">
        <v>0</v>
      </c>
      <c r="O262" s="2">
        <v>0</v>
      </c>
      <c r="P262" s="2">
        <v>0</v>
      </c>
      <c r="Q262" s="2">
        <v>3349.9034000000001</v>
      </c>
      <c r="R262" s="2">
        <v>62.24</v>
      </c>
      <c r="S262" s="2">
        <v>2348338.65</v>
      </c>
      <c r="T262" s="1">
        <v>1.4264992955764708E-3</v>
      </c>
    </row>
    <row r="263" spans="1:20" x14ac:dyDescent="0.3">
      <c r="A263" s="30" t="s">
        <v>118</v>
      </c>
      <c r="B263" s="30" t="s">
        <v>119</v>
      </c>
      <c r="C263" s="30" t="s">
        <v>21</v>
      </c>
      <c r="D263">
        <v>2025</v>
      </c>
      <c r="E263">
        <v>280</v>
      </c>
      <c r="F263" s="30" t="s">
        <v>160</v>
      </c>
      <c r="G263" s="30" t="s">
        <v>29</v>
      </c>
      <c r="H263" s="30" t="s">
        <v>30</v>
      </c>
      <c r="I263" s="2">
        <v>2373.84</v>
      </c>
      <c r="J263" s="2">
        <v>1232.68</v>
      </c>
      <c r="K263" s="2">
        <v>336.52159999999998</v>
      </c>
      <c r="L263" s="2">
        <v>138.04</v>
      </c>
      <c r="M263" s="2">
        <v>308</v>
      </c>
      <c r="N263" s="2">
        <v>0</v>
      </c>
      <c r="O263" s="2">
        <v>0</v>
      </c>
      <c r="P263" s="2">
        <v>0</v>
      </c>
      <c r="Q263" s="2">
        <v>3156.4016000000001</v>
      </c>
      <c r="R263" s="2">
        <v>0</v>
      </c>
      <c r="S263" s="2">
        <v>2348338.65</v>
      </c>
      <c r="T263" s="1">
        <v>1.3440998554446141E-3</v>
      </c>
    </row>
    <row r="264" spans="1:20" x14ac:dyDescent="0.3">
      <c r="A264" s="30" t="s">
        <v>118</v>
      </c>
      <c r="B264" s="30" t="s">
        <v>119</v>
      </c>
      <c r="C264" s="30" t="s">
        <v>21</v>
      </c>
      <c r="D264">
        <v>2025</v>
      </c>
      <c r="E264">
        <v>79</v>
      </c>
      <c r="F264" s="30" t="s">
        <v>161</v>
      </c>
      <c r="G264" s="30" t="s">
        <v>33</v>
      </c>
      <c r="H264" s="30" t="s">
        <v>50</v>
      </c>
      <c r="I264" s="2">
        <v>2281.7399999999998</v>
      </c>
      <c r="J264" s="2">
        <v>2232.9899999999998</v>
      </c>
      <c r="K264" s="2">
        <v>609.60630000000003</v>
      </c>
      <c r="L264" s="2">
        <v>178.63</v>
      </c>
      <c r="M264" s="2">
        <v>308</v>
      </c>
      <c r="N264" s="2">
        <v>80</v>
      </c>
      <c r="O264" s="2">
        <v>0</v>
      </c>
      <c r="P264" s="2">
        <v>0</v>
      </c>
      <c r="Q264" s="2">
        <v>3457.9762999999998</v>
      </c>
      <c r="R264" s="2">
        <v>145.79</v>
      </c>
      <c r="S264" s="2">
        <v>2348338.65</v>
      </c>
      <c r="T264" s="1">
        <v>1.4725202730023626E-3</v>
      </c>
    </row>
    <row r="265" spans="1:20" x14ac:dyDescent="0.3">
      <c r="A265" s="30" t="s">
        <v>118</v>
      </c>
      <c r="B265" s="30" t="s">
        <v>119</v>
      </c>
      <c r="C265" s="30" t="s">
        <v>21</v>
      </c>
      <c r="D265">
        <v>2025</v>
      </c>
      <c r="E265">
        <v>298</v>
      </c>
      <c r="F265" s="30" t="s">
        <v>162</v>
      </c>
      <c r="G265" s="30" t="s">
        <v>89</v>
      </c>
      <c r="H265" s="30" t="s">
        <v>50</v>
      </c>
      <c r="I265" s="2">
        <v>2119.62</v>
      </c>
      <c r="J265" s="2">
        <v>2116.75</v>
      </c>
      <c r="K265" s="2">
        <v>577.87279999999998</v>
      </c>
      <c r="L265" s="2">
        <v>169.34</v>
      </c>
      <c r="M265" s="2">
        <v>308</v>
      </c>
      <c r="N265" s="2">
        <v>0</v>
      </c>
      <c r="O265" s="2">
        <v>0</v>
      </c>
      <c r="P265" s="2">
        <v>0</v>
      </c>
      <c r="Q265" s="2">
        <v>3174.8328000000001</v>
      </c>
      <c r="R265" s="2">
        <v>144.62</v>
      </c>
      <c r="S265" s="2">
        <v>2348338.65</v>
      </c>
      <c r="T265" s="1">
        <v>1.3519484295844641E-3</v>
      </c>
    </row>
    <row r="266" spans="1:20" x14ac:dyDescent="0.3">
      <c r="A266" s="30" t="s">
        <v>118</v>
      </c>
      <c r="B266" s="30" t="s">
        <v>119</v>
      </c>
      <c r="C266" s="30" t="s">
        <v>21</v>
      </c>
      <c r="D266">
        <v>2025</v>
      </c>
      <c r="E266">
        <v>94</v>
      </c>
      <c r="F266" s="30" t="s">
        <v>163</v>
      </c>
      <c r="G266" s="30" t="s">
        <v>39</v>
      </c>
      <c r="H266" s="30" t="s">
        <v>57</v>
      </c>
      <c r="I266" s="2">
        <v>2556.36</v>
      </c>
      <c r="J266" s="2">
        <v>2509.7199999999998</v>
      </c>
      <c r="K266" s="2">
        <v>685.15359999999998</v>
      </c>
      <c r="L266" s="2">
        <v>200.77</v>
      </c>
      <c r="M266" s="2">
        <v>322</v>
      </c>
      <c r="N266" s="2">
        <v>0</v>
      </c>
      <c r="O266" s="2">
        <v>0</v>
      </c>
      <c r="P266" s="2">
        <v>0</v>
      </c>
      <c r="Q266" s="2">
        <v>3764.2836000000002</v>
      </c>
      <c r="R266" s="2">
        <v>4.74</v>
      </c>
      <c r="S266" s="2">
        <v>2348338.65</v>
      </c>
      <c r="T266" s="1">
        <v>1.6029560131797856E-3</v>
      </c>
    </row>
    <row r="267" spans="1:20" x14ac:dyDescent="0.3">
      <c r="A267" s="30" t="s">
        <v>118</v>
      </c>
      <c r="B267" s="30" t="s">
        <v>119</v>
      </c>
      <c r="C267" s="30" t="s">
        <v>21</v>
      </c>
      <c r="D267">
        <v>2025</v>
      </c>
      <c r="E267">
        <v>55</v>
      </c>
      <c r="F267" s="30" t="s">
        <v>164</v>
      </c>
      <c r="G267" s="30" t="s">
        <v>26</v>
      </c>
      <c r="H267" s="30" t="s">
        <v>37</v>
      </c>
      <c r="I267" s="2">
        <v>2681.88</v>
      </c>
      <c r="J267" s="2">
        <v>2681.88</v>
      </c>
      <c r="K267" s="2">
        <v>732.15319999999997</v>
      </c>
      <c r="L267" s="2">
        <v>214.55</v>
      </c>
      <c r="M267" s="2">
        <v>308</v>
      </c>
      <c r="N267" s="2">
        <v>80</v>
      </c>
      <c r="O267" s="2">
        <v>0</v>
      </c>
      <c r="P267" s="2">
        <v>0</v>
      </c>
      <c r="Q267" s="2">
        <v>4016.5832</v>
      </c>
      <c r="R267" s="2">
        <v>230.84</v>
      </c>
      <c r="S267" s="2">
        <v>2348338.65</v>
      </c>
      <c r="T267" s="1">
        <v>1.7103935328918597E-3</v>
      </c>
    </row>
    <row r="268" spans="1:20" x14ac:dyDescent="0.3">
      <c r="A268" s="30" t="s">
        <v>118</v>
      </c>
      <c r="B268" s="30" t="s">
        <v>119</v>
      </c>
      <c r="C268" s="30" t="s">
        <v>21</v>
      </c>
      <c r="D268">
        <v>2025</v>
      </c>
      <c r="E268">
        <v>246</v>
      </c>
      <c r="F268" s="30" t="s">
        <v>165</v>
      </c>
      <c r="G268" s="30" t="s">
        <v>29</v>
      </c>
      <c r="H268" s="30" t="s">
        <v>30</v>
      </c>
      <c r="I268" s="2">
        <v>2490.5300000000002</v>
      </c>
      <c r="J268" s="2">
        <v>2466.19</v>
      </c>
      <c r="K268" s="2">
        <v>673.26990000000001</v>
      </c>
      <c r="L268" s="2">
        <v>197.29</v>
      </c>
      <c r="M268" s="2">
        <v>308</v>
      </c>
      <c r="N268" s="2">
        <v>0</v>
      </c>
      <c r="O268" s="2">
        <v>122.84</v>
      </c>
      <c r="P268" s="2">
        <v>0</v>
      </c>
      <c r="Q268" s="2">
        <v>3791.9299000000001</v>
      </c>
      <c r="R268" s="2">
        <v>145.68</v>
      </c>
      <c r="S268" s="2">
        <v>2348338.65</v>
      </c>
      <c r="T268" s="1">
        <v>1.6147287232188595E-3</v>
      </c>
    </row>
    <row r="269" spans="1:20" x14ac:dyDescent="0.3">
      <c r="A269" s="30" t="s">
        <v>118</v>
      </c>
      <c r="B269" s="30" t="s">
        <v>119</v>
      </c>
      <c r="C269" s="30" t="s">
        <v>21</v>
      </c>
      <c r="D269">
        <v>2025</v>
      </c>
      <c r="E269">
        <v>281</v>
      </c>
      <c r="F269" s="30" t="s">
        <v>166</v>
      </c>
      <c r="G269" s="30" t="s">
        <v>33</v>
      </c>
      <c r="H269" s="30" t="s">
        <v>94</v>
      </c>
      <c r="I269" s="2">
        <v>2432.7800000000002</v>
      </c>
      <c r="J269" s="2">
        <v>2283.56</v>
      </c>
      <c r="K269" s="2">
        <v>623.41189999999995</v>
      </c>
      <c r="L269" s="2">
        <v>182.68</v>
      </c>
      <c r="M269" s="2">
        <v>308</v>
      </c>
      <c r="N269" s="2">
        <v>0</v>
      </c>
      <c r="O269" s="2">
        <v>0</v>
      </c>
      <c r="P269" s="2">
        <v>0</v>
      </c>
      <c r="Q269" s="2">
        <v>3546.8719000000001</v>
      </c>
      <c r="R269" s="2">
        <v>106.73</v>
      </c>
      <c r="S269" s="2">
        <v>2348338.65</v>
      </c>
      <c r="T269" s="1">
        <v>1.5103749537997851E-3</v>
      </c>
    </row>
    <row r="270" spans="1:20" x14ac:dyDescent="0.3">
      <c r="A270" s="30" t="s">
        <v>118</v>
      </c>
      <c r="B270" s="30" t="s">
        <v>119</v>
      </c>
      <c r="C270" s="30" t="s">
        <v>21</v>
      </c>
      <c r="D270">
        <v>2025</v>
      </c>
      <c r="E270">
        <v>44</v>
      </c>
      <c r="F270" s="30" t="s">
        <v>167</v>
      </c>
      <c r="G270" s="30" t="s">
        <v>26</v>
      </c>
      <c r="H270" s="30" t="s">
        <v>55</v>
      </c>
      <c r="I270" s="2">
        <v>2419.06</v>
      </c>
      <c r="J270" s="2">
        <v>2399.2199999999998</v>
      </c>
      <c r="K270" s="2">
        <v>654.98710000000005</v>
      </c>
      <c r="L270" s="2">
        <v>191.93</v>
      </c>
      <c r="M270" s="2">
        <v>308</v>
      </c>
      <c r="N270" s="2">
        <v>0</v>
      </c>
      <c r="O270" s="2">
        <v>0</v>
      </c>
      <c r="P270" s="2">
        <v>0</v>
      </c>
      <c r="Q270" s="2">
        <v>3573.9771000000001</v>
      </c>
      <c r="R270" s="2">
        <v>63.05</v>
      </c>
      <c r="S270" s="2">
        <v>2348338.65</v>
      </c>
      <c r="T270" s="1">
        <v>1.5219172328488483E-3</v>
      </c>
    </row>
    <row r="271" spans="1:20" x14ac:dyDescent="0.3">
      <c r="A271" s="30" t="s">
        <v>118</v>
      </c>
      <c r="B271" s="30" t="s">
        <v>119</v>
      </c>
      <c r="C271" s="30" t="s">
        <v>21</v>
      </c>
      <c r="D271">
        <v>2025</v>
      </c>
      <c r="E271">
        <v>196</v>
      </c>
      <c r="F271" s="30" t="s">
        <v>168</v>
      </c>
      <c r="G271" s="30" t="s">
        <v>26</v>
      </c>
      <c r="H271" s="30" t="s">
        <v>55</v>
      </c>
      <c r="I271" s="2">
        <v>2441.64</v>
      </c>
      <c r="J271" s="2">
        <v>2441.64</v>
      </c>
      <c r="K271" s="2">
        <v>666.56769999999995</v>
      </c>
      <c r="L271" s="2">
        <v>195.33</v>
      </c>
      <c r="M271" s="2">
        <v>308</v>
      </c>
      <c r="N271" s="2">
        <v>80</v>
      </c>
      <c r="O271" s="2">
        <v>122.84</v>
      </c>
      <c r="P271" s="2">
        <v>306.8</v>
      </c>
      <c r="Q271" s="2">
        <v>4121.1777000000002</v>
      </c>
      <c r="R271" s="2">
        <v>80.709999999999994</v>
      </c>
      <c r="S271" s="2">
        <v>2348338.65</v>
      </c>
      <c r="T271" s="1">
        <v>1.7549333099806535E-3</v>
      </c>
    </row>
    <row r="272" spans="1:20" x14ac:dyDescent="0.3">
      <c r="A272" s="30" t="s">
        <v>118</v>
      </c>
      <c r="B272" s="30" t="s">
        <v>119</v>
      </c>
      <c r="C272" s="30" t="s">
        <v>21</v>
      </c>
      <c r="D272">
        <v>2025</v>
      </c>
      <c r="E272">
        <v>299</v>
      </c>
      <c r="F272" s="30" t="s">
        <v>169</v>
      </c>
      <c r="G272" s="30" t="s">
        <v>29</v>
      </c>
      <c r="H272" s="30" t="s">
        <v>30</v>
      </c>
      <c r="I272" s="2">
        <v>2224.2399999999998</v>
      </c>
      <c r="J272" s="2">
        <v>2140.56</v>
      </c>
      <c r="K272" s="2">
        <v>584.37289999999996</v>
      </c>
      <c r="L272" s="2">
        <v>171.24</v>
      </c>
      <c r="M272" s="2">
        <v>308</v>
      </c>
      <c r="N272" s="2">
        <v>0</v>
      </c>
      <c r="O272" s="2">
        <v>0</v>
      </c>
      <c r="P272" s="2">
        <v>306.8</v>
      </c>
      <c r="Q272" s="2">
        <v>3594.6529</v>
      </c>
      <c r="R272" s="2">
        <v>3.24</v>
      </c>
      <c r="S272" s="2">
        <v>2348338.65</v>
      </c>
      <c r="T272" s="1">
        <v>1.5307216784938575E-3</v>
      </c>
    </row>
    <row r="273" spans="1:20" x14ac:dyDescent="0.3">
      <c r="A273" s="30" t="s">
        <v>118</v>
      </c>
      <c r="B273" s="30" t="s">
        <v>119</v>
      </c>
      <c r="C273" s="30" t="s">
        <v>21</v>
      </c>
      <c r="D273">
        <v>2025</v>
      </c>
      <c r="E273">
        <v>148</v>
      </c>
      <c r="F273" s="30" t="s">
        <v>170</v>
      </c>
      <c r="G273" s="30" t="s">
        <v>125</v>
      </c>
      <c r="H273" s="30" t="s">
        <v>171</v>
      </c>
      <c r="I273" s="2">
        <v>2217.2800000000002</v>
      </c>
      <c r="J273" s="2">
        <v>91.59</v>
      </c>
      <c r="K273" s="2">
        <v>25.004100000000001</v>
      </c>
      <c r="L273" s="2">
        <v>177.38</v>
      </c>
      <c r="M273" s="2">
        <v>0</v>
      </c>
      <c r="N273" s="2">
        <v>0</v>
      </c>
      <c r="O273" s="2">
        <v>0</v>
      </c>
      <c r="P273" s="2">
        <v>0</v>
      </c>
      <c r="Q273" s="2">
        <v>2419.6641</v>
      </c>
      <c r="R273" s="2">
        <v>0</v>
      </c>
      <c r="S273" s="2">
        <v>2348338.65</v>
      </c>
      <c r="T273" s="1">
        <v>1.0303727147700781E-3</v>
      </c>
    </row>
    <row r="274" spans="1:20" x14ac:dyDescent="0.3">
      <c r="A274" s="30" t="s">
        <v>118</v>
      </c>
      <c r="B274" s="30" t="s">
        <v>119</v>
      </c>
      <c r="C274" s="30" t="s">
        <v>21</v>
      </c>
      <c r="D274">
        <v>2025</v>
      </c>
      <c r="E274">
        <v>2007</v>
      </c>
      <c r="F274" s="30" t="s">
        <v>172</v>
      </c>
      <c r="G274" s="30" t="s">
        <v>33</v>
      </c>
      <c r="H274" s="30" t="s">
        <v>64</v>
      </c>
      <c r="I274" s="2">
        <v>820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820</v>
      </c>
      <c r="R274" s="2">
        <v>43.42</v>
      </c>
      <c r="S274" s="2">
        <v>2348338.65</v>
      </c>
      <c r="T274" s="1">
        <v>3.4918302775453617E-4</v>
      </c>
    </row>
    <row r="275" spans="1:20" x14ac:dyDescent="0.3">
      <c r="A275" s="30" t="s">
        <v>118</v>
      </c>
      <c r="B275" s="30" t="s">
        <v>119</v>
      </c>
      <c r="C275" s="30" t="s">
        <v>21</v>
      </c>
      <c r="D275">
        <v>2025</v>
      </c>
      <c r="E275">
        <v>2008</v>
      </c>
      <c r="F275" s="30" t="s">
        <v>173</v>
      </c>
      <c r="G275" s="30" t="s">
        <v>33</v>
      </c>
      <c r="H275" s="30" t="s">
        <v>64</v>
      </c>
      <c r="I275" s="2">
        <v>820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820</v>
      </c>
      <c r="R275" s="2">
        <v>54.82</v>
      </c>
      <c r="S275" s="2">
        <v>2348338.65</v>
      </c>
      <c r="T275" s="1">
        <v>3.4918302775453617E-4</v>
      </c>
    </row>
    <row r="276" spans="1:20" x14ac:dyDescent="0.3">
      <c r="A276" s="30" t="s">
        <v>118</v>
      </c>
      <c r="B276" s="30" t="s">
        <v>119</v>
      </c>
      <c r="C276" s="30" t="s">
        <v>21</v>
      </c>
      <c r="D276">
        <v>2025</v>
      </c>
      <c r="E276">
        <v>2009</v>
      </c>
      <c r="F276" s="30" t="s">
        <v>174</v>
      </c>
      <c r="G276" s="30" t="s">
        <v>33</v>
      </c>
      <c r="H276" s="30" t="s">
        <v>64</v>
      </c>
      <c r="I276" s="2">
        <v>820</v>
      </c>
      <c r="J276" s="2">
        <v>0</v>
      </c>
      <c r="K276" s="2">
        <v>0</v>
      </c>
      <c r="L276" s="2">
        <v>0</v>
      </c>
      <c r="M276" s="2">
        <v>0</v>
      </c>
      <c r="N276" s="2">
        <v>80</v>
      </c>
      <c r="O276" s="2">
        <v>0</v>
      </c>
      <c r="P276" s="2">
        <v>0</v>
      </c>
      <c r="Q276" s="2">
        <v>900</v>
      </c>
      <c r="R276" s="2">
        <v>37.270000000000003</v>
      </c>
      <c r="S276" s="2">
        <v>2348338.65</v>
      </c>
      <c r="T276" s="1">
        <v>3.8324966460863728E-4</v>
      </c>
    </row>
    <row r="277" spans="1:20" x14ac:dyDescent="0.3">
      <c r="A277" s="30" t="s">
        <v>118</v>
      </c>
      <c r="B277" s="30" t="s">
        <v>119</v>
      </c>
      <c r="C277" s="30" t="s">
        <v>21</v>
      </c>
      <c r="D277">
        <v>2025</v>
      </c>
      <c r="E277">
        <v>300</v>
      </c>
      <c r="F277" s="30" t="s">
        <v>175</v>
      </c>
      <c r="G277" s="30" t="s">
        <v>39</v>
      </c>
      <c r="H277" s="30" t="s">
        <v>57</v>
      </c>
      <c r="I277" s="2">
        <v>1955.31</v>
      </c>
      <c r="J277" s="2">
        <v>1952.88</v>
      </c>
      <c r="K277" s="2">
        <v>533.13620000000003</v>
      </c>
      <c r="L277" s="2">
        <v>156.22999999999999</v>
      </c>
      <c r="M277" s="2">
        <v>252</v>
      </c>
      <c r="N277" s="2">
        <v>0</v>
      </c>
      <c r="O277" s="2">
        <v>0</v>
      </c>
      <c r="P277" s="2">
        <v>0</v>
      </c>
      <c r="Q277" s="2">
        <v>2896.6761999999999</v>
      </c>
      <c r="R277" s="2">
        <v>14.91</v>
      </c>
      <c r="S277" s="2">
        <v>2348338.65</v>
      </c>
      <c r="T277" s="1">
        <v>1.2335002193997872E-3</v>
      </c>
    </row>
    <row r="278" spans="1:20" x14ac:dyDescent="0.3">
      <c r="A278" s="30" t="s">
        <v>118</v>
      </c>
      <c r="B278" s="30" t="s">
        <v>119</v>
      </c>
      <c r="C278" s="30" t="s">
        <v>21</v>
      </c>
      <c r="D278">
        <v>2025</v>
      </c>
      <c r="E278">
        <v>301</v>
      </c>
      <c r="F278" s="30" t="s">
        <v>176</v>
      </c>
      <c r="G278" s="30" t="s">
        <v>125</v>
      </c>
      <c r="H278" s="30" t="s">
        <v>126</v>
      </c>
      <c r="I278" s="2">
        <v>891.86</v>
      </c>
      <c r="J278" s="2">
        <v>889.62</v>
      </c>
      <c r="K278" s="2">
        <v>242.8663</v>
      </c>
      <c r="L278" s="2">
        <v>71.16</v>
      </c>
      <c r="M278" s="2">
        <v>0</v>
      </c>
      <c r="N278" s="2">
        <v>0</v>
      </c>
      <c r="O278" s="2">
        <v>0</v>
      </c>
      <c r="P278" s="2">
        <v>0</v>
      </c>
      <c r="Q278" s="2">
        <v>1205.8862999999999</v>
      </c>
      <c r="R278" s="2">
        <v>36.03</v>
      </c>
      <c r="S278" s="2">
        <v>2348338.65</v>
      </c>
      <c r="T278" s="1">
        <v>5.1350611633462666E-4</v>
      </c>
    </row>
    <row r="279" spans="1:20" x14ac:dyDescent="0.3">
      <c r="A279" s="30" t="s">
        <v>118</v>
      </c>
      <c r="B279" s="30" t="s">
        <v>119</v>
      </c>
      <c r="C279" s="30" t="s">
        <v>21</v>
      </c>
      <c r="D279">
        <v>2025</v>
      </c>
      <c r="E279">
        <v>302</v>
      </c>
      <c r="F279" s="30" t="s">
        <v>177</v>
      </c>
      <c r="G279" s="30" t="s">
        <v>33</v>
      </c>
      <c r="H279" s="30" t="s">
        <v>50</v>
      </c>
      <c r="I279" s="2">
        <v>929.3</v>
      </c>
      <c r="J279" s="2">
        <v>924.09</v>
      </c>
      <c r="K279" s="2">
        <v>252.2766</v>
      </c>
      <c r="L279" s="2">
        <v>73.92</v>
      </c>
      <c r="M279" s="2">
        <v>0</v>
      </c>
      <c r="N279" s="2">
        <v>0</v>
      </c>
      <c r="O279" s="2">
        <v>0</v>
      </c>
      <c r="P279" s="2">
        <v>0</v>
      </c>
      <c r="Q279" s="2">
        <v>1255.4965999999999</v>
      </c>
      <c r="R279" s="2">
        <v>73.47</v>
      </c>
      <c r="S279" s="2">
        <v>2348338.65</v>
      </c>
      <c r="T279" s="1">
        <v>5.3463182152199392E-4</v>
      </c>
    </row>
    <row r="280" spans="1:20" x14ac:dyDescent="0.3">
      <c r="A280" s="30" t="s">
        <v>118</v>
      </c>
      <c r="B280" s="30" t="s">
        <v>119</v>
      </c>
      <c r="C280" s="30" t="s">
        <v>21</v>
      </c>
      <c r="D280">
        <v>2025</v>
      </c>
      <c r="E280">
        <v>303</v>
      </c>
      <c r="F280" s="30" t="s">
        <v>178</v>
      </c>
      <c r="G280" s="30" t="s">
        <v>26</v>
      </c>
      <c r="H280" s="30" t="s">
        <v>60</v>
      </c>
      <c r="I280" s="2">
        <v>669.32</v>
      </c>
      <c r="J280" s="2">
        <v>537.65</v>
      </c>
      <c r="K280" s="2">
        <v>146.7784</v>
      </c>
      <c r="L280" s="2">
        <v>43.01</v>
      </c>
      <c r="M280" s="2">
        <v>0</v>
      </c>
      <c r="N280" s="2">
        <v>0</v>
      </c>
      <c r="O280" s="2">
        <v>0</v>
      </c>
      <c r="P280" s="2">
        <v>0</v>
      </c>
      <c r="Q280" s="2">
        <v>859.10850000000005</v>
      </c>
      <c r="R280" s="2">
        <v>10.99</v>
      </c>
      <c r="S280" s="2">
        <v>2348338.65</v>
      </c>
      <c r="T280" s="1">
        <v>3.6583669480549582E-4</v>
      </c>
    </row>
    <row r="281" spans="1:20" x14ac:dyDescent="0.3">
      <c r="A281" s="30" t="s">
        <v>118</v>
      </c>
      <c r="B281" s="30" t="s">
        <v>119</v>
      </c>
      <c r="C281" s="30" t="s">
        <v>257</v>
      </c>
      <c r="D281">
        <v>2025</v>
      </c>
      <c r="E281">
        <v>294</v>
      </c>
      <c r="F281" s="30" t="s">
        <v>121</v>
      </c>
      <c r="G281" s="30" t="s">
        <v>39</v>
      </c>
      <c r="H281" s="30" t="s">
        <v>60</v>
      </c>
      <c r="I281" s="2">
        <v>1975</v>
      </c>
      <c r="J281" s="2">
        <v>1859.82</v>
      </c>
      <c r="K281" s="2">
        <v>507.73090000000002</v>
      </c>
      <c r="L281" s="2">
        <v>148.78</v>
      </c>
      <c r="M281" s="2">
        <v>336</v>
      </c>
      <c r="N281" s="2">
        <v>0</v>
      </c>
      <c r="O281" s="2">
        <v>0</v>
      </c>
      <c r="P281" s="2">
        <v>0</v>
      </c>
      <c r="Q281" s="2">
        <v>2967.5109000000002</v>
      </c>
      <c r="R281" s="2">
        <v>0</v>
      </c>
      <c r="S281" s="2">
        <v>2637808.56</v>
      </c>
      <c r="T281" s="1">
        <v>1.1249909887319494E-3</v>
      </c>
    </row>
    <row r="282" spans="1:20" x14ac:dyDescent="0.3">
      <c r="A282" s="30" t="s">
        <v>118</v>
      </c>
      <c r="B282" s="30" t="s">
        <v>119</v>
      </c>
      <c r="C282" s="30" t="s">
        <v>257</v>
      </c>
      <c r="D282">
        <v>2025</v>
      </c>
      <c r="E282">
        <v>92</v>
      </c>
      <c r="F282" s="30" t="s">
        <v>122</v>
      </c>
      <c r="G282" s="30" t="s">
        <v>29</v>
      </c>
      <c r="H282" s="30" t="s">
        <v>111</v>
      </c>
      <c r="I282" s="2">
        <v>2550.77</v>
      </c>
      <c r="J282" s="2">
        <v>2550.77</v>
      </c>
      <c r="K282" s="2">
        <v>696.36019999999996</v>
      </c>
      <c r="L282" s="2">
        <v>204.06</v>
      </c>
      <c r="M282" s="2">
        <v>400</v>
      </c>
      <c r="N282" s="2">
        <v>0</v>
      </c>
      <c r="O282" s="2">
        <v>0</v>
      </c>
      <c r="P282" s="2">
        <v>0</v>
      </c>
      <c r="Q282" s="2">
        <v>3851.1902</v>
      </c>
      <c r="R282" s="2">
        <v>229.47</v>
      </c>
      <c r="S282" s="2">
        <v>2637808.56</v>
      </c>
      <c r="T282" s="1">
        <v>1.4599960999444174E-3</v>
      </c>
    </row>
    <row r="283" spans="1:20" x14ac:dyDescent="0.3">
      <c r="A283" s="30" t="s">
        <v>118</v>
      </c>
      <c r="B283" s="30" t="s">
        <v>119</v>
      </c>
      <c r="C283" s="30" t="s">
        <v>257</v>
      </c>
      <c r="D283">
        <v>2025</v>
      </c>
      <c r="E283">
        <v>269</v>
      </c>
      <c r="F283" s="30" t="s">
        <v>123</v>
      </c>
      <c r="G283" s="30" t="s">
        <v>33</v>
      </c>
      <c r="H283" s="30" t="s">
        <v>94</v>
      </c>
      <c r="I283" s="2">
        <v>2384.38</v>
      </c>
      <c r="J283" s="2">
        <v>2357.42</v>
      </c>
      <c r="K283" s="2">
        <v>643.57569999999998</v>
      </c>
      <c r="L283" s="2">
        <v>188.59</v>
      </c>
      <c r="M283" s="2">
        <v>308</v>
      </c>
      <c r="N283" s="2">
        <v>0</v>
      </c>
      <c r="O283" s="2">
        <v>0</v>
      </c>
      <c r="P283" s="2">
        <v>306.8</v>
      </c>
      <c r="Q283" s="2">
        <v>3831.3456999999999</v>
      </c>
      <c r="R283" s="2">
        <v>146.13999999999999</v>
      </c>
      <c r="S283" s="2">
        <v>2637808.56</v>
      </c>
      <c r="T283" s="1">
        <v>1.4524729800710024E-3</v>
      </c>
    </row>
    <row r="284" spans="1:20" x14ac:dyDescent="0.3">
      <c r="A284" s="30" t="s">
        <v>118</v>
      </c>
      <c r="B284" s="30" t="s">
        <v>119</v>
      </c>
      <c r="C284" s="30" t="s">
        <v>257</v>
      </c>
      <c r="D284">
        <v>2025</v>
      </c>
      <c r="E284">
        <v>292</v>
      </c>
      <c r="F284" s="30" t="s">
        <v>127</v>
      </c>
      <c r="G284" s="30" t="s">
        <v>125</v>
      </c>
      <c r="H284" s="30" t="s">
        <v>126</v>
      </c>
      <c r="I284" s="2">
        <v>2268.71</v>
      </c>
      <c r="J284" s="2">
        <v>2264.85</v>
      </c>
      <c r="K284" s="2">
        <v>618.30409999999995</v>
      </c>
      <c r="L284" s="2">
        <v>181.18</v>
      </c>
      <c r="M284" s="2">
        <v>450</v>
      </c>
      <c r="N284" s="2">
        <v>80</v>
      </c>
      <c r="O284" s="2">
        <v>0</v>
      </c>
      <c r="P284" s="2">
        <v>0</v>
      </c>
      <c r="Q284" s="2">
        <v>3598.1941000000002</v>
      </c>
      <c r="R284" s="2">
        <v>293.70999999999998</v>
      </c>
      <c r="S284" s="2">
        <v>2637808.56</v>
      </c>
      <c r="T284" s="1">
        <v>1.3640846058972527E-3</v>
      </c>
    </row>
    <row r="285" spans="1:20" x14ac:dyDescent="0.3">
      <c r="A285" s="30" t="s">
        <v>118</v>
      </c>
      <c r="B285" s="30" t="s">
        <v>119</v>
      </c>
      <c r="C285" s="30" t="s">
        <v>257</v>
      </c>
      <c r="D285">
        <v>2025</v>
      </c>
      <c r="E285">
        <v>293</v>
      </c>
      <c r="F285" s="30" t="s">
        <v>128</v>
      </c>
      <c r="G285" s="30" t="s">
        <v>89</v>
      </c>
      <c r="H285" s="30" t="s">
        <v>50</v>
      </c>
      <c r="I285" s="2">
        <v>2131.71</v>
      </c>
      <c r="J285" s="2">
        <v>2052.98</v>
      </c>
      <c r="K285" s="2">
        <v>560.46349999999995</v>
      </c>
      <c r="L285" s="2">
        <v>164.23</v>
      </c>
      <c r="M285" s="2">
        <v>322</v>
      </c>
      <c r="N285" s="2">
        <v>0</v>
      </c>
      <c r="O285" s="2">
        <v>0</v>
      </c>
      <c r="P285" s="2">
        <v>242</v>
      </c>
      <c r="Q285" s="2">
        <v>3420.4034999999999</v>
      </c>
      <c r="R285" s="2">
        <v>156.71</v>
      </c>
      <c r="S285" s="2">
        <v>2637808.56</v>
      </c>
      <c r="T285" s="1">
        <v>1.2966837669220394E-3</v>
      </c>
    </row>
    <row r="286" spans="1:20" x14ac:dyDescent="0.3">
      <c r="A286" s="30" t="s">
        <v>118</v>
      </c>
      <c r="B286" s="30" t="s">
        <v>119</v>
      </c>
      <c r="C286" s="30" t="s">
        <v>257</v>
      </c>
      <c r="D286">
        <v>2025</v>
      </c>
      <c r="E286">
        <v>248</v>
      </c>
      <c r="F286" s="30" t="s">
        <v>129</v>
      </c>
      <c r="G286" s="30" t="s">
        <v>125</v>
      </c>
      <c r="H286" s="30" t="s">
        <v>126</v>
      </c>
      <c r="I286" s="2">
        <v>2097.4499999999998</v>
      </c>
      <c r="J286" s="2">
        <v>2097.4499999999998</v>
      </c>
      <c r="K286" s="2">
        <v>572.60379999999998</v>
      </c>
      <c r="L286" s="2">
        <v>167.79</v>
      </c>
      <c r="M286" s="2">
        <v>350</v>
      </c>
      <c r="N286" s="2">
        <v>80</v>
      </c>
      <c r="O286" s="2">
        <v>0</v>
      </c>
      <c r="P286" s="2">
        <v>0</v>
      </c>
      <c r="Q286" s="2">
        <v>3267.8438000000001</v>
      </c>
      <c r="R286" s="2">
        <v>122.45</v>
      </c>
      <c r="S286" s="2">
        <v>2637808.56</v>
      </c>
      <c r="T286" s="1">
        <v>1.2388479966112477E-3</v>
      </c>
    </row>
    <row r="287" spans="1:20" x14ac:dyDescent="0.3">
      <c r="A287" s="30" t="s">
        <v>118</v>
      </c>
      <c r="B287" s="30" t="s">
        <v>119</v>
      </c>
      <c r="C287" s="30" t="s">
        <v>257</v>
      </c>
      <c r="D287">
        <v>2025</v>
      </c>
      <c r="E287">
        <v>234</v>
      </c>
      <c r="F287" s="30" t="s">
        <v>130</v>
      </c>
      <c r="G287" s="30" t="s">
        <v>29</v>
      </c>
      <c r="H287" s="30" t="s">
        <v>30</v>
      </c>
      <c r="I287" s="2">
        <v>2235.37</v>
      </c>
      <c r="J287" s="2">
        <v>1969.74</v>
      </c>
      <c r="K287" s="2">
        <v>537.73900000000003</v>
      </c>
      <c r="L287" s="2">
        <v>157.57</v>
      </c>
      <c r="M287" s="2">
        <v>372</v>
      </c>
      <c r="N287" s="2">
        <v>0</v>
      </c>
      <c r="O287" s="2">
        <v>0</v>
      </c>
      <c r="P287" s="2">
        <v>0</v>
      </c>
      <c r="Q287" s="2">
        <v>3302.6790000000001</v>
      </c>
      <c r="R287" s="2">
        <v>14.37</v>
      </c>
      <c r="S287" s="2">
        <v>2637808.56</v>
      </c>
      <c r="T287" s="1">
        <v>1.2520540990283238E-3</v>
      </c>
    </row>
    <row r="288" spans="1:20" x14ac:dyDescent="0.3">
      <c r="A288" s="30" t="s">
        <v>118</v>
      </c>
      <c r="B288" s="30" t="s">
        <v>119</v>
      </c>
      <c r="C288" s="30" t="s">
        <v>257</v>
      </c>
      <c r="D288">
        <v>2025</v>
      </c>
      <c r="E288">
        <v>305</v>
      </c>
      <c r="F288" s="30" t="s">
        <v>266</v>
      </c>
      <c r="G288" s="30" t="s">
        <v>29</v>
      </c>
      <c r="H288" s="30" t="s">
        <v>30</v>
      </c>
      <c r="I288" s="2">
        <v>1644.17</v>
      </c>
      <c r="J288" s="2">
        <v>1644.17</v>
      </c>
      <c r="K288" s="2">
        <v>448.85840000000002</v>
      </c>
      <c r="L288" s="2">
        <v>131.53</v>
      </c>
      <c r="M288" s="2">
        <v>238</v>
      </c>
      <c r="N288" s="2">
        <v>0</v>
      </c>
      <c r="O288" s="2">
        <v>0</v>
      </c>
      <c r="P288" s="2">
        <v>0</v>
      </c>
      <c r="Q288" s="2">
        <v>2462.5583999999999</v>
      </c>
      <c r="R288" s="2">
        <v>89.47</v>
      </c>
      <c r="S288" s="2">
        <v>2637808.56</v>
      </c>
      <c r="T288" s="1">
        <v>9.3356221802540532E-4</v>
      </c>
    </row>
    <row r="289" spans="1:20" x14ac:dyDescent="0.3">
      <c r="A289" s="30" t="s">
        <v>118</v>
      </c>
      <c r="B289" s="30" t="s">
        <v>119</v>
      </c>
      <c r="C289" s="30" t="s">
        <v>257</v>
      </c>
      <c r="D289">
        <v>2025</v>
      </c>
      <c r="E289">
        <v>308</v>
      </c>
      <c r="F289" s="30" t="s">
        <v>267</v>
      </c>
      <c r="G289" s="30" t="s">
        <v>26</v>
      </c>
      <c r="H289" s="30" t="s">
        <v>60</v>
      </c>
      <c r="I289" s="2">
        <v>20.82</v>
      </c>
      <c r="J289" s="2">
        <v>14.36</v>
      </c>
      <c r="K289" s="2">
        <v>3.9203000000000001</v>
      </c>
      <c r="L289" s="2">
        <v>1.1399999999999999</v>
      </c>
      <c r="M289" s="2">
        <v>0</v>
      </c>
      <c r="N289" s="2">
        <v>0</v>
      </c>
      <c r="O289" s="2">
        <v>0</v>
      </c>
      <c r="P289" s="2">
        <v>0</v>
      </c>
      <c r="Q289" s="2">
        <v>25.880299999999998</v>
      </c>
      <c r="R289" s="2">
        <v>14.36</v>
      </c>
      <c r="S289" s="2">
        <v>2637808.56</v>
      </c>
      <c r="T289" s="1">
        <v>9.8112806184843074E-6</v>
      </c>
    </row>
    <row r="290" spans="1:20" x14ac:dyDescent="0.3">
      <c r="A290" s="30" t="s">
        <v>118</v>
      </c>
      <c r="B290" s="30" t="s">
        <v>119</v>
      </c>
      <c r="C290" s="30" t="s">
        <v>257</v>
      </c>
      <c r="D290">
        <v>2025</v>
      </c>
      <c r="E290">
        <v>273</v>
      </c>
      <c r="F290" s="30" t="s">
        <v>131</v>
      </c>
      <c r="G290" s="30" t="s">
        <v>125</v>
      </c>
      <c r="H290" s="30" t="s">
        <v>126</v>
      </c>
      <c r="I290" s="2">
        <v>2138.5500000000002</v>
      </c>
      <c r="J290" s="2">
        <v>2138.5500000000002</v>
      </c>
      <c r="K290" s="2">
        <v>583.82420000000002</v>
      </c>
      <c r="L290" s="2">
        <v>171.08</v>
      </c>
      <c r="M290" s="2">
        <v>350</v>
      </c>
      <c r="N290" s="2">
        <v>80</v>
      </c>
      <c r="O290" s="2">
        <v>0</v>
      </c>
      <c r="P290" s="2">
        <v>0</v>
      </c>
      <c r="Q290" s="2">
        <v>3323.4542000000001</v>
      </c>
      <c r="R290" s="2">
        <v>163.55000000000001</v>
      </c>
      <c r="S290" s="2">
        <v>2637808.56</v>
      </c>
      <c r="T290" s="1">
        <v>1.2599300041698251E-3</v>
      </c>
    </row>
    <row r="291" spans="1:20" x14ac:dyDescent="0.3">
      <c r="A291" s="30" t="s">
        <v>118</v>
      </c>
      <c r="B291" s="30" t="s">
        <v>119</v>
      </c>
      <c r="C291" s="30" t="s">
        <v>257</v>
      </c>
      <c r="D291">
        <v>2025</v>
      </c>
      <c r="E291">
        <v>76</v>
      </c>
      <c r="F291" s="30" t="s">
        <v>132</v>
      </c>
      <c r="G291" s="30" t="s">
        <v>125</v>
      </c>
      <c r="H291" s="30" t="s">
        <v>133</v>
      </c>
      <c r="I291" s="2">
        <v>2825.12</v>
      </c>
      <c r="J291" s="2">
        <v>2825.12</v>
      </c>
      <c r="K291" s="2">
        <v>771.25779999999997</v>
      </c>
      <c r="L291" s="2">
        <v>226</v>
      </c>
      <c r="M291" s="2">
        <v>400</v>
      </c>
      <c r="N291" s="2">
        <v>80</v>
      </c>
      <c r="O291" s="2">
        <v>122.84</v>
      </c>
      <c r="P291" s="2">
        <v>306.8</v>
      </c>
      <c r="Q291" s="2">
        <v>4732.0177999999996</v>
      </c>
      <c r="R291" s="2">
        <v>503.82</v>
      </c>
      <c r="S291" s="2">
        <v>2637808.56</v>
      </c>
      <c r="T291" s="1">
        <v>1.7939200864523692E-3</v>
      </c>
    </row>
    <row r="292" spans="1:20" x14ac:dyDescent="0.3">
      <c r="A292" s="30" t="s">
        <v>118</v>
      </c>
      <c r="B292" s="30" t="s">
        <v>119</v>
      </c>
      <c r="C292" s="30" t="s">
        <v>257</v>
      </c>
      <c r="D292">
        <v>2025</v>
      </c>
      <c r="E292">
        <v>304</v>
      </c>
      <c r="F292" s="30" t="s">
        <v>268</v>
      </c>
      <c r="G292" s="30" t="s">
        <v>89</v>
      </c>
      <c r="H292" s="30" t="s">
        <v>50</v>
      </c>
      <c r="I292" s="2">
        <v>2049.6</v>
      </c>
      <c r="J292" s="2">
        <v>1910.13</v>
      </c>
      <c r="K292" s="2">
        <v>521.46550000000002</v>
      </c>
      <c r="L292" s="2">
        <v>152.81</v>
      </c>
      <c r="M292" s="2">
        <v>592</v>
      </c>
      <c r="N292" s="2">
        <v>0</v>
      </c>
      <c r="O292" s="2">
        <v>0</v>
      </c>
      <c r="P292" s="2">
        <v>0</v>
      </c>
      <c r="Q292" s="2">
        <v>3315.8755000000001</v>
      </c>
      <c r="R292" s="2">
        <v>206.27</v>
      </c>
      <c r="S292" s="2">
        <v>2637808.56</v>
      </c>
      <c r="T292" s="1">
        <v>1.2570569146989196E-3</v>
      </c>
    </row>
    <row r="293" spans="1:20" x14ac:dyDescent="0.3">
      <c r="A293" s="30" t="s">
        <v>118</v>
      </c>
      <c r="B293" s="30" t="s">
        <v>119</v>
      </c>
      <c r="C293" s="30" t="s">
        <v>257</v>
      </c>
      <c r="D293">
        <v>2025</v>
      </c>
      <c r="E293">
        <v>297</v>
      </c>
      <c r="F293" s="30" t="s">
        <v>134</v>
      </c>
      <c r="G293" s="30" t="s">
        <v>33</v>
      </c>
      <c r="H293" s="30" t="s">
        <v>50</v>
      </c>
      <c r="I293" s="2">
        <v>1979.28</v>
      </c>
      <c r="J293" s="2">
        <v>1841.34</v>
      </c>
      <c r="K293" s="2">
        <v>502.68579999999997</v>
      </c>
      <c r="L293" s="2">
        <v>147.30000000000001</v>
      </c>
      <c r="M293" s="2">
        <v>336</v>
      </c>
      <c r="N293" s="2">
        <v>0</v>
      </c>
      <c r="O293" s="2">
        <v>0</v>
      </c>
      <c r="P293" s="2">
        <v>0</v>
      </c>
      <c r="Q293" s="2">
        <v>2965.2658000000001</v>
      </c>
      <c r="R293" s="2">
        <v>4.28</v>
      </c>
      <c r="S293" s="2">
        <v>2637808.56</v>
      </c>
      <c r="T293" s="1">
        <v>1.1241398883018261E-3</v>
      </c>
    </row>
    <row r="294" spans="1:20" x14ac:dyDescent="0.3">
      <c r="A294" s="30" t="s">
        <v>118</v>
      </c>
      <c r="B294" s="30" t="s">
        <v>119</v>
      </c>
      <c r="C294" s="30" t="s">
        <v>257</v>
      </c>
      <c r="D294">
        <v>2025</v>
      </c>
      <c r="E294">
        <v>296</v>
      </c>
      <c r="F294" s="30" t="s">
        <v>135</v>
      </c>
      <c r="G294" s="30" t="s">
        <v>29</v>
      </c>
      <c r="H294" s="30" t="s">
        <v>30</v>
      </c>
      <c r="I294" s="2">
        <v>2221</v>
      </c>
      <c r="J294" s="2">
        <v>2204.1</v>
      </c>
      <c r="K294" s="2">
        <v>601.71929999999998</v>
      </c>
      <c r="L294" s="2">
        <v>176.32</v>
      </c>
      <c r="M294" s="2">
        <v>336</v>
      </c>
      <c r="N294" s="2">
        <v>0</v>
      </c>
      <c r="O294" s="2">
        <v>0</v>
      </c>
      <c r="P294" s="2">
        <v>306.8</v>
      </c>
      <c r="Q294" s="2">
        <v>3641.8393000000001</v>
      </c>
      <c r="R294" s="2">
        <v>0</v>
      </c>
      <c r="S294" s="2">
        <v>2637808.56</v>
      </c>
      <c r="T294" s="1">
        <v>1.380630632269993E-3</v>
      </c>
    </row>
    <row r="295" spans="1:20" x14ac:dyDescent="0.3">
      <c r="A295" s="30" t="s">
        <v>118</v>
      </c>
      <c r="B295" s="30" t="s">
        <v>119</v>
      </c>
      <c r="C295" s="30" t="s">
        <v>257</v>
      </c>
      <c r="D295">
        <v>2025</v>
      </c>
      <c r="E295">
        <v>284</v>
      </c>
      <c r="F295" s="30" t="s">
        <v>136</v>
      </c>
      <c r="G295" s="30" t="s">
        <v>33</v>
      </c>
      <c r="H295" s="30" t="s">
        <v>50</v>
      </c>
      <c r="I295" s="2">
        <v>1982.7</v>
      </c>
      <c r="J295" s="2">
        <v>1979.38</v>
      </c>
      <c r="K295" s="2">
        <v>540.37070000000006</v>
      </c>
      <c r="L295" s="2">
        <v>158.35</v>
      </c>
      <c r="M295" s="2">
        <v>336</v>
      </c>
      <c r="N295" s="2">
        <v>80</v>
      </c>
      <c r="O295" s="2">
        <v>0</v>
      </c>
      <c r="P295" s="2">
        <v>0</v>
      </c>
      <c r="Q295" s="2">
        <v>3097.4207000000001</v>
      </c>
      <c r="R295" s="2">
        <v>7.7</v>
      </c>
      <c r="S295" s="2">
        <v>2637808.56</v>
      </c>
      <c r="T295" s="1">
        <v>1.1742401578983428E-3</v>
      </c>
    </row>
    <row r="296" spans="1:20" x14ac:dyDescent="0.3">
      <c r="A296" s="30" t="s">
        <v>118</v>
      </c>
      <c r="B296" s="30" t="s">
        <v>119</v>
      </c>
      <c r="C296" s="30" t="s">
        <v>257</v>
      </c>
      <c r="D296">
        <v>2025</v>
      </c>
      <c r="E296">
        <v>236</v>
      </c>
      <c r="F296" s="30" t="s">
        <v>137</v>
      </c>
      <c r="G296" s="30" t="s">
        <v>33</v>
      </c>
      <c r="H296" s="30" t="s">
        <v>50</v>
      </c>
      <c r="I296" s="2">
        <v>2956.98</v>
      </c>
      <c r="J296" s="2">
        <v>1687.4</v>
      </c>
      <c r="K296" s="2">
        <v>460.66019999999997</v>
      </c>
      <c r="L296" s="2">
        <v>213</v>
      </c>
      <c r="M296" s="2">
        <v>476</v>
      </c>
      <c r="N296" s="2">
        <v>0</v>
      </c>
      <c r="O296" s="2">
        <v>0</v>
      </c>
      <c r="P296" s="2">
        <v>0</v>
      </c>
      <c r="Q296" s="2">
        <v>4106.6401999999998</v>
      </c>
      <c r="R296" s="2">
        <v>7.42</v>
      </c>
      <c r="S296" s="2">
        <v>2637808.56</v>
      </c>
      <c r="T296" s="1">
        <v>1.5568378472469585E-3</v>
      </c>
    </row>
    <row r="297" spans="1:20" x14ac:dyDescent="0.3">
      <c r="A297" s="30" t="s">
        <v>118</v>
      </c>
      <c r="B297" s="30" t="s">
        <v>119</v>
      </c>
      <c r="C297" s="30" t="s">
        <v>257</v>
      </c>
      <c r="D297">
        <v>2025</v>
      </c>
      <c r="E297">
        <v>266</v>
      </c>
      <c r="F297" s="30" t="s">
        <v>138</v>
      </c>
      <c r="G297" s="30" t="s">
        <v>29</v>
      </c>
      <c r="H297" s="30" t="s">
        <v>30</v>
      </c>
      <c r="I297" s="2">
        <v>2228.7399999999998</v>
      </c>
      <c r="J297" s="2">
        <v>2198.02</v>
      </c>
      <c r="K297" s="2">
        <v>600.05949999999996</v>
      </c>
      <c r="L297" s="2">
        <v>175.84</v>
      </c>
      <c r="M297" s="2">
        <v>408</v>
      </c>
      <c r="N297" s="2">
        <v>0</v>
      </c>
      <c r="O297" s="2">
        <v>0</v>
      </c>
      <c r="P297" s="2">
        <v>0</v>
      </c>
      <c r="Q297" s="2">
        <v>3412.6395000000002</v>
      </c>
      <c r="R297" s="2">
        <v>7.74</v>
      </c>
      <c r="S297" s="2">
        <v>2637808.56</v>
      </c>
      <c r="T297" s="1">
        <v>1.2937403842529041E-3</v>
      </c>
    </row>
    <row r="298" spans="1:20" x14ac:dyDescent="0.3">
      <c r="A298" s="30" t="s">
        <v>118</v>
      </c>
      <c r="B298" s="30" t="s">
        <v>119</v>
      </c>
      <c r="C298" s="30" t="s">
        <v>257</v>
      </c>
      <c r="D298">
        <v>2025</v>
      </c>
      <c r="E298">
        <v>242</v>
      </c>
      <c r="F298" s="30" t="s">
        <v>140</v>
      </c>
      <c r="G298" s="30" t="s">
        <v>29</v>
      </c>
      <c r="H298" s="30" t="s">
        <v>111</v>
      </c>
      <c r="I298" s="2">
        <v>2574.3200000000002</v>
      </c>
      <c r="J298" s="2">
        <v>2530.85</v>
      </c>
      <c r="K298" s="2">
        <v>690.9221</v>
      </c>
      <c r="L298" s="2">
        <v>202.46</v>
      </c>
      <c r="M298" s="2">
        <v>400</v>
      </c>
      <c r="N298" s="2">
        <v>80</v>
      </c>
      <c r="O298" s="2">
        <v>0</v>
      </c>
      <c r="P298" s="2">
        <v>0</v>
      </c>
      <c r="Q298" s="2">
        <v>3947.7021</v>
      </c>
      <c r="R298" s="2">
        <v>253.02</v>
      </c>
      <c r="S298" s="2">
        <v>2637808.56</v>
      </c>
      <c r="T298" s="1">
        <v>1.4965839863678356E-3</v>
      </c>
    </row>
    <row r="299" spans="1:20" x14ac:dyDescent="0.3">
      <c r="A299" s="30" t="s">
        <v>118</v>
      </c>
      <c r="B299" s="30" t="s">
        <v>119</v>
      </c>
      <c r="C299" s="30" t="s">
        <v>257</v>
      </c>
      <c r="D299">
        <v>2025</v>
      </c>
      <c r="E299">
        <v>78</v>
      </c>
      <c r="F299" s="30" t="s">
        <v>141</v>
      </c>
      <c r="G299" s="30" t="s">
        <v>29</v>
      </c>
      <c r="H299" s="30" t="s">
        <v>30</v>
      </c>
      <c r="I299" s="2">
        <v>2221</v>
      </c>
      <c r="J299" s="2">
        <v>2179.9499999999998</v>
      </c>
      <c r="K299" s="2">
        <v>595.12639999999999</v>
      </c>
      <c r="L299" s="2">
        <v>174.39</v>
      </c>
      <c r="M299" s="2">
        <v>364</v>
      </c>
      <c r="N299" s="2">
        <v>0</v>
      </c>
      <c r="O299" s="2">
        <v>122.84</v>
      </c>
      <c r="P299" s="2">
        <v>0</v>
      </c>
      <c r="Q299" s="2">
        <v>3477.3564000000001</v>
      </c>
      <c r="R299" s="2">
        <v>0</v>
      </c>
      <c r="S299" s="2">
        <v>2637808.56</v>
      </c>
      <c r="T299" s="1">
        <v>1.318274723469697E-3</v>
      </c>
    </row>
    <row r="300" spans="1:20" x14ac:dyDescent="0.3">
      <c r="A300" s="30" t="s">
        <v>118</v>
      </c>
      <c r="B300" s="30" t="s">
        <v>119</v>
      </c>
      <c r="C300" s="30" t="s">
        <v>257</v>
      </c>
      <c r="D300">
        <v>2025</v>
      </c>
      <c r="E300">
        <v>286</v>
      </c>
      <c r="F300" s="30" t="s">
        <v>142</v>
      </c>
      <c r="G300" s="30" t="s">
        <v>26</v>
      </c>
      <c r="H300" s="30" t="s">
        <v>60</v>
      </c>
      <c r="I300" s="2">
        <v>2040.93</v>
      </c>
      <c r="J300" s="2">
        <v>2011.48</v>
      </c>
      <c r="K300" s="2">
        <v>549.13400000000001</v>
      </c>
      <c r="L300" s="2">
        <v>160.91</v>
      </c>
      <c r="M300" s="2">
        <v>336</v>
      </c>
      <c r="N300" s="2">
        <v>80</v>
      </c>
      <c r="O300" s="2">
        <v>0</v>
      </c>
      <c r="P300" s="2">
        <v>0</v>
      </c>
      <c r="Q300" s="2">
        <v>3166.9740000000002</v>
      </c>
      <c r="R300" s="2">
        <v>65.930000000000007</v>
      </c>
      <c r="S300" s="2">
        <v>2637808.56</v>
      </c>
      <c r="T300" s="1">
        <v>1.2006079925678912E-3</v>
      </c>
    </row>
    <row r="301" spans="1:20" x14ac:dyDescent="0.3">
      <c r="A301" s="30" t="s">
        <v>118</v>
      </c>
      <c r="B301" s="30" t="s">
        <v>119</v>
      </c>
      <c r="C301" s="30" t="s">
        <v>257</v>
      </c>
      <c r="D301">
        <v>2025</v>
      </c>
      <c r="E301">
        <v>262</v>
      </c>
      <c r="F301" s="30" t="s">
        <v>143</v>
      </c>
      <c r="G301" s="30" t="s">
        <v>29</v>
      </c>
      <c r="H301" s="30" t="s">
        <v>111</v>
      </c>
      <c r="I301" s="2">
        <v>2586.6</v>
      </c>
      <c r="J301" s="2">
        <v>2553.15</v>
      </c>
      <c r="K301" s="2">
        <v>697.01</v>
      </c>
      <c r="L301" s="2">
        <v>204.25</v>
      </c>
      <c r="M301" s="2">
        <v>400</v>
      </c>
      <c r="N301" s="2">
        <v>80</v>
      </c>
      <c r="O301" s="2">
        <v>0</v>
      </c>
      <c r="P301" s="2">
        <v>0</v>
      </c>
      <c r="Q301" s="2">
        <v>3967.86</v>
      </c>
      <c r="R301" s="2">
        <v>265.3</v>
      </c>
      <c r="S301" s="2">
        <v>2637808.56</v>
      </c>
      <c r="T301" s="1">
        <v>1.5042258980310537E-3</v>
      </c>
    </row>
    <row r="302" spans="1:20" x14ac:dyDescent="0.3">
      <c r="A302" s="30" t="s">
        <v>118</v>
      </c>
      <c r="B302" s="30" t="s">
        <v>119</v>
      </c>
      <c r="C302" s="30" t="s">
        <v>257</v>
      </c>
      <c r="D302">
        <v>2025</v>
      </c>
      <c r="E302">
        <v>252</v>
      </c>
      <c r="F302" s="30" t="s">
        <v>144</v>
      </c>
      <c r="G302" s="30" t="s">
        <v>29</v>
      </c>
      <c r="H302" s="30" t="s">
        <v>30</v>
      </c>
      <c r="I302" s="2">
        <v>2367.12</v>
      </c>
      <c r="J302" s="2">
        <v>2329.7399999999998</v>
      </c>
      <c r="K302" s="2">
        <v>636.01900000000001</v>
      </c>
      <c r="L302" s="2">
        <v>186.37</v>
      </c>
      <c r="M302" s="2">
        <v>386</v>
      </c>
      <c r="N302" s="2">
        <v>80</v>
      </c>
      <c r="O302" s="2">
        <v>122.84</v>
      </c>
      <c r="P302" s="2">
        <v>0</v>
      </c>
      <c r="Q302" s="2">
        <v>3778.3490000000002</v>
      </c>
      <c r="R302" s="2">
        <v>146.12</v>
      </c>
      <c r="S302" s="2">
        <v>2637808.56</v>
      </c>
      <c r="T302" s="1">
        <v>1.4323818177313062E-3</v>
      </c>
    </row>
    <row r="303" spans="1:20" x14ac:dyDescent="0.3">
      <c r="A303" s="30" t="s">
        <v>118</v>
      </c>
      <c r="B303" s="30" t="s">
        <v>119</v>
      </c>
      <c r="C303" s="30" t="s">
        <v>257</v>
      </c>
      <c r="D303">
        <v>2025</v>
      </c>
      <c r="E303">
        <v>274</v>
      </c>
      <c r="F303" s="30" t="s">
        <v>145</v>
      </c>
      <c r="G303" s="30" t="s">
        <v>33</v>
      </c>
      <c r="H303" s="30" t="s">
        <v>50</v>
      </c>
      <c r="I303" s="2">
        <v>2015.59</v>
      </c>
      <c r="J303" s="2">
        <v>1984.44</v>
      </c>
      <c r="K303" s="2">
        <v>541.75210000000004</v>
      </c>
      <c r="L303" s="2">
        <v>158.75</v>
      </c>
      <c r="M303" s="2">
        <v>350</v>
      </c>
      <c r="N303" s="2">
        <v>0</v>
      </c>
      <c r="O303" s="2">
        <v>0</v>
      </c>
      <c r="P303" s="2">
        <v>0</v>
      </c>
      <c r="Q303" s="2">
        <v>3066.0920999999998</v>
      </c>
      <c r="R303" s="2">
        <v>40.590000000000003</v>
      </c>
      <c r="S303" s="2">
        <v>2637808.56</v>
      </c>
      <c r="T303" s="1">
        <v>1.1623633975924321E-3</v>
      </c>
    </row>
    <row r="304" spans="1:20" x14ac:dyDescent="0.3">
      <c r="A304" s="30" t="s">
        <v>118</v>
      </c>
      <c r="B304" s="30" t="s">
        <v>119</v>
      </c>
      <c r="C304" s="30" t="s">
        <v>257</v>
      </c>
      <c r="D304">
        <v>2025</v>
      </c>
      <c r="E304">
        <v>183</v>
      </c>
      <c r="F304" s="30" t="s">
        <v>146</v>
      </c>
      <c r="G304" s="30" t="s">
        <v>125</v>
      </c>
      <c r="H304" s="30" t="s">
        <v>126</v>
      </c>
      <c r="I304" s="2">
        <v>2169.89</v>
      </c>
      <c r="J304" s="2">
        <v>2169.89</v>
      </c>
      <c r="K304" s="2">
        <v>592.38</v>
      </c>
      <c r="L304" s="2">
        <v>173.59</v>
      </c>
      <c r="M304" s="2">
        <v>350</v>
      </c>
      <c r="N304" s="2">
        <v>80</v>
      </c>
      <c r="O304" s="2">
        <v>0</v>
      </c>
      <c r="P304" s="2">
        <v>0</v>
      </c>
      <c r="Q304" s="2">
        <v>3365.86</v>
      </c>
      <c r="R304" s="2">
        <v>194.89</v>
      </c>
      <c r="S304" s="2">
        <v>2637808.56</v>
      </c>
      <c r="T304" s="1">
        <v>1.2760061594462337E-3</v>
      </c>
    </row>
    <row r="305" spans="1:20" x14ac:dyDescent="0.3">
      <c r="A305" s="30" t="s">
        <v>118</v>
      </c>
      <c r="B305" s="30" t="s">
        <v>119</v>
      </c>
      <c r="C305" s="30" t="s">
        <v>257</v>
      </c>
      <c r="D305">
        <v>2025</v>
      </c>
      <c r="E305">
        <v>257</v>
      </c>
      <c r="F305" s="30" t="s">
        <v>147</v>
      </c>
      <c r="G305" s="30" t="s">
        <v>29</v>
      </c>
      <c r="H305" s="30" t="s">
        <v>30</v>
      </c>
      <c r="I305" s="2">
        <v>2221</v>
      </c>
      <c r="J305" s="2">
        <v>2040.41</v>
      </c>
      <c r="K305" s="2">
        <v>557.03189999999995</v>
      </c>
      <c r="L305" s="2">
        <v>163.22999999999999</v>
      </c>
      <c r="M305" s="2">
        <v>336</v>
      </c>
      <c r="N305" s="2">
        <v>0</v>
      </c>
      <c r="O305" s="2">
        <v>0</v>
      </c>
      <c r="P305" s="2">
        <v>0</v>
      </c>
      <c r="Q305" s="2">
        <v>3277.2619</v>
      </c>
      <c r="R305" s="2">
        <v>0</v>
      </c>
      <c r="S305" s="2">
        <v>2637808.56</v>
      </c>
      <c r="T305" s="1">
        <v>1.242418414928489E-3</v>
      </c>
    </row>
    <row r="306" spans="1:20" x14ac:dyDescent="0.3">
      <c r="A306" s="30" t="s">
        <v>118</v>
      </c>
      <c r="B306" s="30" t="s">
        <v>119</v>
      </c>
      <c r="C306" s="30" t="s">
        <v>257</v>
      </c>
      <c r="D306">
        <v>2025</v>
      </c>
      <c r="E306">
        <v>241</v>
      </c>
      <c r="F306" s="30" t="s">
        <v>148</v>
      </c>
      <c r="G306" s="30" t="s">
        <v>29</v>
      </c>
      <c r="H306" s="30" t="s">
        <v>30</v>
      </c>
      <c r="I306" s="2">
        <v>2221</v>
      </c>
      <c r="J306" s="2">
        <v>1925.08</v>
      </c>
      <c r="K306" s="2">
        <v>525.54679999999996</v>
      </c>
      <c r="L306" s="2">
        <v>154</v>
      </c>
      <c r="M306" s="2">
        <v>436</v>
      </c>
      <c r="N306" s="2">
        <v>0</v>
      </c>
      <c r="O306" s="2">
        <v>0</v>
      </c>
      <c r="P306" s="2">
        <v>0</v>
      </c>
      <c r="Q306" s="2">
        <v>3336.5468000000001</v>
      </c>
      <c r="R306" s="2">
        <v>0</v>
      </c>
      <c r="S306" s="2">
        <v>2637808.56</v>
      </c>
      <c r="T306" s="1">
        <v>1.264893476575874E-3</v>
      </c>
    </row>
    <row r="307" spans="1:20" x14ac:dyDescent="0.3">
      <c r="A307" s="30" t="s">
        <v>118</v>
      </c>
      <c r="B307" s="30" t="s">
        <v>119</v>
      </c>
      <c r="C307" s="30" t="s">
        <v>257</v>
      </c>
      <c r="D307">
        <v>2025</v>
      </c>
      <c r="E307">
        <v>128</v>
      </c>
      <c r="F307" s="30" t="s">
        <v>149</v>
      </c>
      <c r="G307" s="30" t="s">
        <v>33</v>
      </c>
      <c r="H307" s="30" t="s">
        <v>37</v>
      </c>
      <c r="I307" s="2">
        <v>3047.75</v>
      </c>
      <c r="J307" s="2">
        <v>3047.75</v>
      </c>
      <c r="K307" s="2">
        <v>832.03579999999999</v>
      </c>
      <c r="L307" s="2">
        <v>243.82</v>
      </c>
      <c r="M307" s="2">
        <v>500</v>
      </c>
      <c r="N307" s="2">
        <v>80</v>
      </c>
      <c r="O307" s="2">
        <v>0</v>
      </c>
      <c r="P307" s="2">
        <v>0</v>
      </c>
      <c r="Q307" s="2">
        <v>4703.6057000000001</v>
      </c>
      <c r="R307" s="2">
        <v>389.15</v>
      </c>
      <c r="S307" s="2">
        <v>2637808.56</v>
      </c>
      <c r="T307" s="1">
        <v>1.7831490204884314E-3</v>
      </c>
    </row>
    <row r="308" spans="1:20" x14ac:dyDescent="0.3">
      <c r="A308" s="30" t="s">
        <v>118</v>
      </c>
      <c r="B308" s="30" t="s">
        <v>119</v>
      </c>
      <c r="C308" s="30" t="s">
        <v>257</v>
      </c>
      <c r="D308">
        <v>2025</v>
      </c>
      <c r="E308">
        <v>306</v>
      </c>
      <c r="F308" s="30" t="s">
        <v>269</v>
      </c>
      <c r="G308" s="30" t="s">
        <v>29</v>
      </c>
      <c r="H308" s="30" t="s">
        <v>30</v>
      </c>
      <c r="I308" s="2">
        <v>1515.29</v>
      </c>
      <c r="J308" s="2">
        <v>1515.29</v>
      </c>
      <c r="K308" s="2">
        <v>413.67419999999998</v>
      </c>
      <c r="L308" s="2">
        <v>121.22</v>
      </c>
      <c r="M308" s="2">
        <v>224</v>
      </c>
      <c r="N308" s="2">
        <v>0</v>
      </c>
      <c r="O308" s="2">
        <v>0</v>
      </c>
      <c r="P308" s="2">
        <v>0</v>
      </c>
      <c r="Q308" s="2">
        <v>2274.1842000000001</v>
      </c>
      <c r="R308" s="2">
        <v>34.619999999999997</v>
      </c>
      <c r="S308" s="2">
        <v>2637808.56</v>
      </c>
      <c r="T308" s="1">
        <v>8.6214905982411397E-4</v>
      </c>
    </row>
    <row r="309" spans="1:20" x14ac:dyDescent="0.3">
      <c r="A309" s="30" t="s">
        <v>118</v>
      </c>
      <c r="B309" s="30" t="s">
        <v>119</v>
      </c>
      <c r="C309" s="30" t="s">
        <v>257</v>
      </c>
      <c r="D309">
        <v>2025</v>
      </c>
      <c r="E309">
        <v>261</v>
      </c>
      <c r="F309" s="30" t="s">
        <v>151</v>
      </c>
      <c r="G309" s="30" t="s">
        <v>29</v>
      </c>
      <c r="H309" s="30" t="s">
        <v>30</v>
      </c>
      <c r="I309" s="2">
        <v>2235.7399999999998</v>
      </c>
      <c r="J309" s="2">
        <v>2222.41</v>
      </c>
      <c r="K309" s="2">
        <v>606.71789999999999</v>
      </c>
      <c r="L309" s="2">
        <v>177.79</v>
      </c>
      <c r="M309" s="2">
        <v>522</v>
      </c>
      <c r="N309" s="2">
        <v>0</v>
      </c>
      <c r="O309" s="2">
        <v>0</v>
      </c>
      <c r="P309" s="2">
        <v>0</v>
      </c>
      <c r="Q309" s="2">
        <v>3542.2478999999998</v>
      </c>
      <c r="R309" s="2">
        <v>14.74</v>
      </c>
      <c r="S309" s="2">
        <v>2637808.56</v>
      </c>
      <c r="T309" s="1">
        <v>1.3428752881141609E-3</v>
      </c>
    </row>
    <row r="310" spans="1:20" x14ac:dyDescent="0.3">
      <c r="A310" s="30" t="s">
        <v>118</v>
      </c>
      <c r="B310" s="30" t="s">
        <v>119</v>
      </c>
      <c r="C310" s="30" t="s">
        <v>257</v>
      </c>
      <c r="D310">
        <v>2025</v>
      </c>
      <c r="E310">
        <v>175</v>
      </c>
      <c r="F310" s="30" t="s">
        <v>152</v>
      </c>
      <c r="G310" s="30" t="s">
        <v>39</v>
      </c>
      <c r="H310" s="30" t="s">
        <v>55</v>
      </c>
      <c r="I310" s="2">
        <v>2243.4899999999998</v>
      </c>
      <c r="J310" s="2">
        <v>2121.4</v>
      </c>
      <c r="K310" s="2">
        <v>579.1422</v>
      </c>
      <c r="L310" s="2">
        <v>169.71</v>
      </c>
      <c r="M310" s="2">
        <v>336</v>
      </c>
      <c r="N310" s="2">
        <v>0</v>
      </c>
      <c r="O310" s="2">
        <v>0</v>
      </c>
      <c r="P310" s="2">
        <v>0</v>
      </c>
      <c r="Q310" s="2">
        <v>3328.3422</v>
      </c>
      <c r="R310" s="2">
        <v>5.25</v>
      </c>
      <c r="S310" s="2">
        <v>2637808.56</v>
      </c>
      <c r="T310" s="1">
        <v>1.2617830764792119E-3</v>
      </c>
    </row>
    <row r="311" spans="1:20" x14ac:dyDescent="0.3">
      <c r="A311" s="30" t="s">
        <v>118</v>
      </c>
      <c r="B311" s="30" t="s">
        <v>119</v>
      </c>
      <c r="C311" s="30" t="s">
        <v>257</v>
      </c>
      <c r="D311">
        <v>2025</v>
      </c>
      <c r="E311">
        <v>124</v>
      </c>
      <c r="F311" s="30" t="s">
        <v>153</v>
      </c>
      <c r="G311" s="30" t="s">
        <v>33</v>
      </c>
      <c r="H311" s="30" t="s">
        <v>37</v>
      </c>
      <c r="I311" s="2">
        <v>3081.17</v>
      </c>
      <c r="J311" s="2">
        <v>3081.17</v>
      </c>
      <c r="K311" s="2">
        <v>841.15940000000001</v>
      </c>
      <c r="L311" s="2">
        <v>246.49</v>
      </c>
      <c r="M311" s="2">
        <v>600</v>
      </c>
      <c r="N311" s="2">
        <v>0</v>
      </c>
      <c r="O311" s="2">
        <v>0</v>
      </c>
      <c r="P311" s="2">
        <v>0</v>
      </c>
      <c r="Q311" s="2">
        <v>4768.8194000000003</v>
      </c>
      <c r="R311" s="2">
        <v>422.57</v>
      </c>
      <c r="S311" s="2">
        <v>2637808.56</v>
      </c>
      <c r="T311" s="1">
        <v>1.80787168648812E-3</v>
      </c>
    </row>
    <row r="312" spans="1:20" x14ac:dyDescent="0.3">
      <c r="A312" s="30" t="s">
        <v>118</v>
      </c>
      <c r="B312" s="30" t="s">
        <v>119</v>
      </c>
      <c r="C312" s="30" t="s">
        <v>257</v>
      </c>
      <c r="D312">
        <v>2025</v>
      </c>
      <c r="E312">
        <v>206</v>
      </c>
      <c r="F312" s="30" t="s">
        <v>154</v>
      </c>
      <c r="G312" s="30" t="s">
        <v>33</v>
      </c>
      <c r="H312" s="30" t="s">
        <v>94</v>
      </c>
      <c r="I312" s="2">
        <v>2253.38</v>
      </c>
      <c r="J312" s="2">
        <v>2251.35</v>
      </c>
      <c r="K312" s="2">
        <v>614.61860000000001</v>
      </c>
      <c r="L312" s="2">
        <v>180.1</v>
      </c>
      <c r="M312" s="2">
        <v>350</v>
      </c>
      <c r="N312" s="2">
        <v>80</v>
      </c>
      <c r="O312" s="2">
        <v>0</v>
      </c>
      <c r="P312" s="2">
        <v>0</v>
      </c>
      <c r="Q312" s="2">
        <v>3478.0985999999998</v>
      </c>
      <c r="R312" s="2">
        <v>15.14</v>
      </c>
      <c r="S312" s="2">
        <v>2637808.56</v>
      </c>
      <c r="T312" s="1">
        <v>1.3185560933959514E-3</v>
      </c>
    </row>
    <row r="313" spans="1:20" x14ac:dyDescent="0.3">
      <c r="A313" s="30" t="s">
        <v>118</v>
      </c>
      <c r="B313" s="30" t="s">
        <v>119</v>
      </c>
      <c r="C313" s="30" t="s">
        <v>257</v>
      </c>
      <c r="D313">
        <v>2025</v>
      </c>
      <c r="E313">
        <v>239</v>
      </c>
      <c r="F313" s="30" t="s">
        <v>155</v>
      </c>
      <c r="G313" s="30" t="s">
        <v>26</v>
      </c>
      <c r="H313" s="30" t="s">
        <v>60</v>
      </c>
      <c r="I313" s="2">
        <v>1975</v>
      </c>
      <c r="J313" s="2">
        <v>1864.31</v>
      </c>
      <c r="K313" s="2">
        <v>508.95659999999998</v>
      </c>
      <c r="L313" s="2">
        <v>149.13999999999999</v>
      </c>
      <c r="M313" s="2">
        <v>336</v>
      </c>
      <c r="N313" s="2">
        <v>0</v>
      </c>
      <c r="O313" s="2">
        <v>0</v>
      </c>
      <c r="P313" s="2">
        <v>0</v>
      </c>
      <c r="Q313" s="2">
        <v>2969.0965999999999</v>
      </c>
      <c r="R313" s="2">
        <v>0</v>
      </c>
      <c r="S313" s="2">
        <v>2637808.56</v>
      </c>
      <c r="T313" s="1">
        <v>1.1255921582118153E-3</v>
      </c>
    </row>
    <row r="314" spans="1:20" x14ac:dyDescent="0.3">
      <c r="A314" s="30" t="s">
        <v>118</v>
      </c>
      <c r="B314" s="30" t="s">
        <v>119</v>
      </c>
      <c r="C314" s="30" t="s">
        <v>257</v>
      </c>
      <c r="D314">
        <v>2025</v>
      </c>
      <c r="E314">
        <v>51</v>
      </c>
      <c r="F314" s="30" t="s">
        <v>156</v>
      </c>
      <c r="G314" s="30" t="s">
        <v>76</v>
      </c>
      <c r="H314" s="30" t="s">
        <v>76</v>
      </c>
      <c r="I314" s="2">
        <v>8157.41</v>
      </c>
      <c r="J314" s="2">
        <v>8157.41</v>
      </c>
      <c r="K314" s="2">
        <v>1631.482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9788.8919999999998</v>
      </c>
      <c r="R314" s="2">
        <v>0</v>
      </c>
      <c r="S314" s="2">
        <v>2637808.56</v>
      </c>
      <c r="T314" s="1">
        <v>3.7109940988287642E-3</v>
      </c>
    </row>
    <row r="315" spans="1:20" x14ac:dyDescent="0.3">
      <c r="A315" s="30" t="s">
        <v>118</v>
      </c>
      <c r="B315" s="30" t="s">
        <v>119</v>
      </c>
      <c r="C315" s="30" t="s">
        <v>257</v>
      </c>
      <c r="D315">
        <v>2025</v>
      </c>
      <c r="E315">
        <v>176</v>
      </c>
      <c r="F315" s="30" t="s">
        <v>157</v>
      </c>
      <c r="G315" s="30" t="s">
        <v>29</v>
      </c>
      <c r="H315" s="30" t="s">
        <v>111</v>
      </c>
      <c r="I315" s="2">
        <v>2736.35</v>
      </c>
      <c r="J315" s="2">
        <v>2736.35</v>
      </c>
      <c r="K315" s="2">
        <v>747.02359999999999</v>
      </c>
      <c r="L315" s="2">
        <v>218.9</v>
      </c>
      <c r="M315" s="2">
        <v>400</v>
      </c>
      <c r="N315" s="2">
        <v>80</v>
      </c>
      <c r="O315" s="2">
        <v>0</v>
      </c>
      <c r="P315" s="2">
        <v>0</v>
      </c>
      <c r="Q315" s="2">
        <v>4182.2735000000002</v>
      </c>
      <c r="R315" s="2">
        <v>415.05</v>
      </c>
      <c r="S315" s="2">
        <v>2637808.56</v>
      </c>
      <c r="T315" s="1">
        <v>1.5855106444874073E-3</v>
      </c>
    </row>
    <row r="316" spans="1:20" x14ac:dyDescent="0.3">
      <c r="A316" s="30" t="s">
        <v>118</v>
      </c>
      <c r="B316" s="30" t="s">
        <v>119</v>
      </c>
      <c r="C316" s="30" t="s">
        <v>257</v>
      </c>
      <c r="D316">
        <v>2025</v>
      </c>
      <c r="E316">
        <v>130</v>
      </c>
      <c r="F316" s="30" t="s">
        <v>158</v>
      </c>
      <c r="G316" s="30" t="s">
        <v>89</v>
      </c>
      <c r="H316" s="30" t="s">
        <v>34</v>
      </c>
      <c r="I316" s="2">
        <v>2084.16</v>
      </c>
      <c r="J316" s="2">
        <v>2039.76</v>
      </c>
      <c r="K316" s="2">
        <v>556.85450000000003</v>
      </c>
      <c r="L316" s="2">
        <v>163.18</v>
      </c>
      <c r="M316" s="2">
        <v>308</v>
      </c>
      <c r="N316" s="2">
        <v>0</v>
      </c>
      <c r="O316" s="2">
        <v>0</v>
      </c>
      <c r="P316" s="2">
        <v>0</v>
      </c>
      <c r="Q316" s="2">
        <v>3112.1945000000001</v>
      </c>
      <c r="R316" s="2">
        <v>5.95</v>
      </c>
      <c r="S316" s="2">
        <v>2637808.56</v>
      </c>
      <c r="T316" s="1">
        <v>1.179840920676973E-3</v>
      </c>
    </row>
    <row r="317" spans="1:20" x14ac:dyDescent="0.3">
      <c r="A317" s="30" t="s">
        <v>118</v>
      </c>
      <c r="B317" s="30" t="s">
        <v>119</v>
      </c>
      <c r="C317" s="30" t="s">
        <v>257</v>
      </c>
      <c r="D317">
        <v>2025</v>
      </c>
      <c r="E317">
        <v>277</v>
      </c>
      <c r="F317" s="30" t="s">
        <v>159</v>
      </c>
      <c r="G317" s="30" t="s">
        <v>33</v>
      </c>
      <c r="H317" s="30" t="s">
        <v>34</v>
      </c>
      <c r="I317" s="2">
        <v>2178.77</v>
      </c>
      <c r="J317" s="2">
        <v>2178.77</v>
      </c>
      <c r="K317" s="2">
        <v>594.80420000000004</v>
      </c>
      <c r="L317" s="2">
        <v>174.3</v>
      </c>
      <c r="M317" s="2">
        <v>336</v>
      </c>
      <c r="N317" s="2">
        <v>0</v>
      </c>
      <c r="O317" s="2">
        <v>0</v>
      </c>
      <c r="P317" s="2">
        <v>0</v>
      </c>
      <c r="Q317" s="2">
        <v>3283.8742000000002</v>
      </c>
      <c r="R317" s="2">
        <v>100.56</v>
      </c>
      <c r="S317" s="2">
        <v>2637808.56</v>
      </c>
      <c r="T317" s="1">
        <v>1.2449251472593599E-3</v>
      </c>
    </row>
    <row r="318" spans="1:20" x14ac:dyDescent="0.3">
      <c r="A318" s="30" t="s">
        <v>118</v>
      </c>
      <c r="B318" s="30" t="s">
        <v>119</v>
      </c>
      <c r="C318" s="30" t="s">
        <v>257</v>
      </c>
      <c r="D318">
        <v>2025</v>
      </c>
      <c r="E318">
        <v>79</v>
      </c>
      <c r="F318" s="30" t="s">
        <v>161</v>
      </c>
      <c r="G318" s="30" t="s">
        <v>33</v>
      </c>
      <c r="H318" s="30" t="s">
        <v>50</v>
      </c>
      <c r="I318" s="2">
        <v>2136.9299999999998</v>
      </c>
      <c r="J318" s="2">
        <v>2085.4899999999998</v>
      </c>
      <c r="K318" s="2">
        <v>569.33879999999999</v>
      </c>
      <c r="L318" s="2">
        <v>166.83</v>
      </c>
      <c r="M318" s="2">
        <v>336</v>
      </c>
      <c r="N318" s="2">
        <v>0</v>
      </c>
      <c r="O318" s="2">
        <v>0</v>
      </c>
      <c r="P318" s="2">
        <v>0</v>
      </c>
      <c r="Q318" s="2">
        <v>3209.0988000000002</v>
      </c>
      <c r="R318" s="2">
        <v>65.930000000000007</v>
      </c>
      <c r="S318" s="2">
        <v>2637808.56</v>
      </c>
      <c r="T318" s="1">
        <v>1.2165775859033529E-3</v>
      </c>
    </row>
    <row r="319" spans="1:20" x14ac:dyDescent="0.3">
      <c r="A319" s="30" t="s">
        <v>118</v>
      </c>
      <c r="B319" s="30" t="s">
        <v>119</v>
      </c>
      <c r="C319" s="30" t="s">
        <v>257</v>
      </c>
      <c r="D319">
        <v>2025</v>
      </c>
      <c r="E319">
        <v>298</v>
      </c>
      <c r="F319" s="30" t="s">
        <v>162</v>
      </c>
      <c r="G319" s="30" t="s">
        <v>89</v>
      </c>
      <c r="H319" s="30" t="s">
        <v>50</v>
      </c>
      <c r="I319" s="2">
        <v>2175.71</v>
      </c>
      <c r="J319" s="2">
        <v>2175.71</v>
      </c>
      <c r="K319" s="2">
        <v>593.96879999999999</v>
      </c>
      <c r="L319" s="2">
        <v>174.05</v>
      </c>
      <c r="M319" s="2">
        <v>322</v>
      </c>
      <c r="N319" s="2">
        <v>0</v>
      </c>
      <c r="O319" s="2">
        <v>0</v>
      </c>
      <c r="P319" s="2">
        <v>0</v>
      </c>
      <c r="Q319" s="2">
        <v>3265.7287999999999</v>
      </c>
      <c r="R319" s="2">
        <v>200.71</v>
      </c>
      <c r="S319" s="2">
        <v>2637808.56</v>
      </c>
      <c r="T319" s="1">
        <v>1.2380461870970653E-3</v>
      </c>
    </row>
    <row r="320" spans="1:20" x14ac:dyDescent="0.3">
      <c r="A320" s="30" t="s">
        <v>118</v>
      </c>
      <c r="B320" s="30" t="s">
        <v>119</v>
      </c>
      <c r="C320" s="30" t="s">
        <v>257</v>
      </c>
      <c r="D320">
        <v>2025</v>
      </c>
      <c r="E320">
        <v>94</v>
      </c>
      <c r="F320" s="30" t="s">
        <v>163</v>
      </c>
      <c r="G320" s="30" t="s">
        <v>39</v>
      </c>
      <c r="H320" s="30" t="s">
        <v>57</v>
      </c>
      <c r="I320" s="2">
        <v>2430.7600000000002</v>
      </c>
      <c r="J320" s="2">
        <v>2343.88</v>
      </c>
      <c r="K320" s="2">
        <v>639.87919999999997</v>
      </c>
      <c r="L320" s="2">
        <v>187.51</v>
      </c>
      <c r="M320" s="2">
        <v>336</v>
      </c>
      <c r="N320" s="2">
        <v>0</v>
      </c>
      <c r="O320" s="2">
        <v>0</v>
      </c>
      <c r="P320" s="2">
        <v>0</v>
      </c>
      <c r="Q320" s="2">
        <v>3594.1491999999998</v>
      </c>
      <c r="R320" s="2">
        <v>5.26</v>
      </c>
      <c r="S320" s="2">
        <v>2637808.56</v>
      </c>
      <c r="T320" s="1">
        <v>1.3625512080376297E-3</v>
      </c>
    </row>
    <row r="321" spans="1:20" x14ac:dyDescent="0.3">
      <c r="A321" s="30" t="s">
        <v>118</v>
      </c>
      <c r="B321" s="30" t="s">
        <v>119</v>
      </c>
      <c r="C321" s="30" t="s">
        <v>257</v>
      </c>
      <c r="D321">
        <v>2025</v>
      </c>
      <c r="E321">
        <v>55</v>
      </c>
      <c r="F321" s="30" t="s">
        <v>164</v>
      </c>
      <c r="G321" s="30" t="s">
        <v>26</v>
      </c>
      <c r="H321" s="30" t="s">
        <v>37</v>
      </c>
      <c r="I321" s="2">
        <v>3494.62</v>
      </c>
      <c r="J321" s="2">
        <v>3494.62</v>
      </c>
      <c r="K321" s="2">
        <v>954.03129999999999</v>
      </c>
      <c r="L321" s="2">
        <v>279.56</v>
      </c>
      <c r="M321" s="2">
        <v>210</v>
      </c>
      <c r="N321" s="2">
        <v>80</v>
      </c>
      <c r="O321" s="2">
        <v>0</v>
      </c>
      <c r="P321" s="2">
        <v>0</v>
      </c>
      <c r="Q321" s="2">
        <v>5018.2112999999999</v>
      </c>
      <c r="R321" s="2">
        <v>0</v>
      </c>
      <c r="S321" s="2">
        <v>2637808.56</v>
      </c>
      <c r="T321" s="1">
        <v>1.9024167773570343E-3</v>
      </c>
    </row>
    <row r="322" spans="1:20" x14ac:dyDescent="0.3">
      <c r="A322" s="30" t="s">
        <v>118</v>
      </c>
      <c r="B322" s="30" t="s">
        <v>119</v>
      </c>
      <c r="C322" s="30" t="s">
        <v>257</v>
      </c>
      <c r="D322">
        <v>2025</v>
      </c>
      <c r="E322">
        <v>246</v>
      </c>
      <c r="F322" s="30" t="s">
        <v>165</v>
      </c>
      <c r="G322" s="30" t="s">
        <v>29</v>
      </c>
      <c r="H322" s="30" t="s">
        <v>30</v>
      </c>
      <c r="I322" s="2">
        <v>2370.81</v>
      </c>
      <c r="J322" s="2">
        <v>2362.6</v>
      </c>
      <c r="K322" s="2">
        <v>644.98979999999995</v>
      </c>
      <c r="L322" s="2">
        <v>189</v>
      </c>
      <c r="M322" s="2">
        <v>336</v>
      </c>
      <c r="N322" s="2">
        <v>0</v>
      </c>
      <c r="O322" s="2">
        <v>122.84</v>
      </c>
      <c r="P322" s="2">
        <v>0</v>
      </c>
      <c r="Q322" s="2">
        <v>3663.6397999999999</v>
      </c>
      <c r="R322" s="2">
        <v>149.81</v>
      </c>
      <c r="S322" s="2">
        <v>2637808.56</v>
      </c>
      <c r="T322" s="1">
        <v>1.3888952578120376E-3</v>
      </c>
    </row>
    <row r="323" spans="1:20" x14ac:dyDescent="0.3">
      <c r="A323" s="30" t="s">
        <v>118</v>
      </c>
      <c r="B323" s="30" t="s">
        <v>119</v>
      </c>
      <c r="C323" s="30" t="s">
        <v>257</v>
      </c>
      <c r="D323">
        <v>2025</v>
      </c>
      <c r="E323">
        <v>281</v>
      </c>
      <c r="F323" s="30" t="s">
        <v>166</v>
      </c>
      <c r="G323" s="30" t="s">
        <v>33</v>
      </c>
      <c r="H323" s="30" t="s">
        <v>94</v>
      </c>
      <c r="I323" s="2">
        <v>2262.11</v>
      </c>
      <c r="J323" s="2">
        <v>2112.89</v>
      </c>
      <c r="K323" s="2">
        <v>576.81899999999996</v>
      </c>
      <c r="L323" s="2">
        <v>169.03</v>
      </c>
      <c r="M323" s="2">
        <v>322</v>
      </c>
      <c r="N323" s="2">
        <v>0</v>
      </c>
      <c r="O323" s="2">
        <v>0</v>
      </c>
      <c r="P323" s="2">
        <v>0</v>
      </c>
      <c r="Q323" s="2">
        <v>3329.9589999999998</v>
      </c>
      <c r="R323" s="2">
        <v>23.87</v>
      </c>
      <c r="S323" s="2">
        <v>2637808.56</v>
      </c>
      <c r="T323" s="1">
        <v>1.2623959981386977E-3</v>
      </c>
    </row>
    <row r="324" spans="1:20" x14ac:dyDescent="0.3">
      <c r="A324" s="30" t="s">
        <v>118</v>
      </c>
      <c r="B324" s="30" t="s">
        <v>119</v>
      </c>
      <c r="C324" s="30" t="s">
        <v>257</v>
      </c>
      <c r="D324">
        <v>2025</v>
      </c>
      <c r="E324">
        <v>307</v>
      </c>
      <c r="F324" s="30" t="s">
        <v>270</v>
      </c>
      <c r="G324" s="30" t="s">
        <v>33</v>
      </c>
      <c r="H324" s="30" t="s">
        <v>50</v>
      </c>
      <c r="I324" s="2">
        <v>1355.22</v>
      </c>
      <c r="J324" s="2">
        <v>1355.22</v>
      </c>
      <c r="K324" s="2">
        <v>369.9751</v>
      </c>
      <c r="L324" s="2">
        <v>108.41</v>
      </c>
      <c r="M324" s="2">
        <v>224</v>
      </c>
      <c r="N324" s="2">
        <v>0</v>
      </c>
      <c r="O324" s="2">
        <v>0</v>
      </c>
      <c r="P324" s="2">
        <v>0</v>
      </c>
      <c r="Q324" s="2">
        <v>2057.6051000000002</v>
      </c>
      <c r="R324" s="2">
        <v>38.549999999999997</v>
      </c>
      <c r="S324" s="2">
        <v>2637808.56</v>
      </c>
      <c r="T324" s="1">
        <v>7.800433629648999E-4</v>
      </c>
    </row>
    <row r="325" spans="1:20" x14ac:dyDescent="0.3">
      <c r="A325" s="30" t="s">
        <v>118</v>
      </c>
      <c r="B325" s="30" t="s">
        <v>119</v>
      </c>
      <c r="C325" s="30" t="s">
        <v>257</v>
      </c>
      <c r="D325">
        <v>2025</v>
      </c>
      <c r="E325">
        <v>44</v>
      </c>
      <c r="F325" s="30" t="s">
        <v>167</v>
      </c>
      <c r="G325" s="30" t="s">
        <v>26</v>
      </c>
      <c r="H325" s="30" t="s">
        <v>55</v>
      </c>
      <c r="I325" s="2">
        <v>2338.58</v>
      </c>
      <c r="J325" s="2">
        <v>2244.6799999999998</v>
      </c>
      <c r="K325" s="2">
        <v>612.79759999999999</v>
      </c>
      <c r="L325" s="2">
        <v>179.57</v>
      </c>
      <c r="M325" s="2">
        <v>322</v>
      </c>
      <c r="N325" s="2">
        <v>0</v>
      </c>
      <c r="O325" s="2">
        <v>0</v>
      </c>
      <c r="P325" s="2">
        <v>0</v>
      </c>
      <c r="Q325" s="2">
        <v>3452.9476</v>
      </c>
      <c r="R325" s="2">
        <v>100.34</v>
      </c>
      <c r="S325" s="2">
        <v>2637808.56</v>
      </c>
      <c r="T325" s="1">
        <v>1.3090213188177689E-3</v>
      </c>
    </row>
    <row r="326" spans="1:20" x14ac:dyDescent="0.3">
      <c r="A326" s="30" t="s">
        <v>118</v>
      </c>
      <c r="B326" s="30" t="s">
        <v>119</v>
      </c>
      <c r="C326" s="30" t="s">
        <v>257</v>
      </c>
      <c r="D326">
        <v>2025</v>
      </c>
      <c r="E326">
        <v>196</v>
      </c>
      <c r="F326" s="30" t="s">
        <v>168</v>
      </c>
      <c r="G326" s="30" t="s">
        <v>26</v>
      </c>
      <c r="H326" s="30" t="s">
        <v>55</v>
      </c>
      <c r="I326" s="2">
        <v>2360.5100000000002</v>
      </c>
      <c r="J326" s="2">
        <v>2360.5100000000002</v>
      </c>
      <c r="K326" s="2">
        <v>644.41920000000005</v>
      </c>
      <c r="L326" s="2">
        <v>188.84</v>
      </c>
      <c r="M326" s="2">
        <v>464</v>
      </c>
      <c r="N326" s="2">
        <v>80</v>
      </c>
      <c r="O326" s="2">
        <v>122.84</v>
      </c>
      <c r="P326" s="2">
        <v>306.8</v>
      </c>
      <c r="Q326" s="2">
        <v>4167.4092000000001</v>
      </c>
      <c r="R326" s="2">
        <v>122.27</v>
      </c>
      <c r="S326" s="2">
        <v>2637808.56</v>
      </c>
      <c r="T326" s="1">
        <v>1.579875542598133E-3</v>
      </c>
    </row>
    <row r="327" spans="1:20" x14ac:dyDescent="0.3">
      <c r="A327" s="30" t="s">
        <v>118</v>
      </c>
      <c r="B327" s="30" t="s">
        <v>119</v>
      </c>
      <c r="C327" s="30" t="s">
        <v>257</v>
      </c>
      <c r="D327">
        <v>2025</v>
      </c>
      <c r="E327">
        <v>299</v>
      </c>
      <c r="F327" s="30" t="s">
        <v>169</v>
      </c>
      <c r="G327" s="30" t="s">
        <v>29</v>
      </c>
      <c r="H327" s="30" t="s">
        <v>30</v>
      </c>
      <c r="I327" s="2">
        <v>2256.38</v>
      </c>
      <c r="J327" s="2">
        <v>2175.12</v>
      </c>
      <c r="K327" s="2">
        <v>593.80780000000004</v>
      </c>
      <c r="L327" s="2">
        <v>174</v>
      </c>
      <c r="M327" s="2">
        <v>422</v>
      </c>
      <c r="N327" s="2">
        <v>0</v>
      </c>
      <c r="O327" s="2">
        <v>0</v>
      </c>
      <c r="P327" s="2">
        <v>206.8</v>
      </c>
      <c r="Q327" s="2">
        <v>3652.9877999999999</v>
      </c>
      <c r="R327" s="2">
        <v>35.380000000000003</v>
      </c>
      <c r="S327" s="2">
        <v>2637808.56</v>
      </c>
      <c r="T327" s="1">
        <v>1.3848570420895139E-3</v>
      </c>
    </row>
    <row r="328" spans="1:20" x14ac:dyDescent="0.3">
      <c r="A328" s="30" t="s">
        <v>118</v>
      </c>
      <c r="B328" s="30" t="s">
        <v>119</v>
      </c>
      <c r="C328" s="30" t="s">
        <v>257</v>
      </c>
      <c r="D328">
        <v>2025</v>
      </c>
      <c r="E328">
        <v>148</v>
      </c>
      <c r="F328" s="30" t="s">
        <v>170</v>
      </c>
      <c r="G328" s="30" t="s">
        <v>125</v>
      </c>
      <c r="H328" s="30" t="s">
        <v>171</v>
      </c>
      <c r="I328" s="2">
        <v>2125.69</v>
      </c>
      <c r="J328" s="2">
        <v>0</v>
      </c>
      <c r="K328" s="2">
        <v>0</v>
      </c>
      <c r="L328" s="2">
        <v>170.05</v>
      </c>
      <c r="M328" s="2">
        <v>0</v>
      </c>
      <c r="N328" s="2">
        <v>0</v>
      </c>
      <c r="O328" s="2">
        <v>0</v>
      </c>
      <c r="P328" s="2">
        <v>0</v>
      </c>
      <c r="Q328" s="2">
        <v>2295.7399999999998</v>
      </c>
      <c r="R328" s="2">
        <v>0</v>
      </c>
      <c r="S328" s="2">
        <v>2637808.56</v>
      </c>
      <c r="T328" s="1">
        <v>8.703209303407523E-4</v>
      </c>
    </row>
    <row r="329" spans="1:20" x14ac:dyDescent="0.3">
      <c r="A329" s="30" t="s">
        <v>118</v>
      </c>
      <c r="B329" s="30" t="s">
        <v>119</v>
      </c>
      <c r="C329" s="30" t="s">
        <v>257</v>
      </c>
      <c r="D329">
        <v>2025</v>
      </c>
      <c r="E329">
        <v>2007</v>
      </c>
      <c r="F329" s="30" t="s">
        <v>172</v>
      </c>
      <c r="G329" s="30" t="s">
        <v>33</v>
      </c>
      <c r="H329" s="30" t="s">
        <v>64</v>
      </c>
      <c r="I329" s="2">
        <v>842.61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842.61</v>
      </c>
      <c r="R329" s="2">
        <v>0</v>
      </c>
      <c r="S329" s="2">
        <v>2637808.56</v>
      </c>
      <c r="T329" s="1">
        <v>3.1943561514562679E-4</v>
      </c>
    </row>
    <row r="330" spans="1:20" x14ac:dyDescent="0.3">
      <c r="A330" s="30" t="s">
        <v>118</v>
      </c>
      <c r="B330" s="30" t="s">
        <v>119</v>
      </c>
      <c r="C330" s="30" t="s">
        <v>257</v>
      </c>
      <c r="D330">
        <v>2025</v>
      </c>
      <c r="E330">
        <v>2008</v>
      </c>
      <c r="F330" s="30" t="s">
        <v>173</v>
      </c>
      <c r="G330" s="30" t="s">
        <v>33</v>
      </c>
      <c r="H330" s="30" t="s">
        <v>64</v>
      </c>
      <c r="I330" s="2">
        <v>878.35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878.35</v>
      </c>
      <c r="R330" s="2">
        <v>0</v>
      </c>
      <c r="S330" s="2">
        <v>2637808.56</v>
      </c>
      <c r="T330" s="1">
        <v>3.3298474093965331E-4</v>
      </c>
    </row>
    <row r="331" spans="1:20" x14ac:dyDescent="0.3">
      <c r="A331" s="30" t="s">
        <v>118</v>
      </c>
      <c r="B331" s="30" t="s">
        <v>119</v>
      </c>
      <c r="C331" s="30" t="s">
        <v>257</v>
      </c>
      <c r="D331">
        <v>2025</v>
      </c>
      <c r="E331">
        <v>2009</v>
      </c>
      <c r="F331" s="30" t="s">
        <v>174</v>
      </c>
      <c r="G331" s="30" t="s">
        <v>33</v>
      </c>
      <c r="H331" s="30" t="s">
        <v>64</v>
      </c>
      <c r="I331" s="2">
        <v>859.9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306.8</v>
      </c>
      <c r="Q331" s="2">
        <v>1166.7</v>
      </c>
      <c r="R331" s="2">
        <v>0</v>
      </c>
      <c r="S331" s="2">
        <v>2637808.56</v>
      </c>
      <c r="T331" s="1">
        <v>4.4229896653303762E-4</v>
      </c>
    </row>
    <row r="332" spans="1:20" x14ac:dyDescent="0.3">
      <c r="A332" s="30" t="s">
        <v>118</v>
      </c>
      <c r="B332" s="30" t="s">
        <v>119</v>
      </c>
      <c r="C332" s="30" t="s">
        <v>257</v>
      </c>
      <c r="D332">
        <v>2025</v>
      </c>
      <c r="E332">
        <v>300</v>
      </c>
      <c r="F332" s="30" t="s">
        <v>175</v>
      </c>
      <c r="G332" s="30" t="s">
        <v>39</v>
      </c>
      <c r="H332" s="30" t="s">
        <v>57</v>
      </c>
      <c r="I332" s="2">
        <v>2441.91</v>
      </c>
      <c r="J332" s="2">
        <v>2374.44</v>
      </c>
      <c r="K332" s="2">
        <v>648.22209999999995</v>
      </c>
      <c r="L332" s="2">
        <v>189.95</v>
      </c>
      <c r="M332" s="2">
        <v>422</v>
      </c>
      <c r="N332" s="2">
        <v>80</v>
      </c>
      <c r="O332" s="2">
        <v>0</v>
      </c>
      <c r="P332" s="2">
        <v>0</v>
      </c>
      <c r="Q332" s="2">
        <v>3782.0821000000001</v>
      </c>
      <c r="R332" s="2">
        <v>16.41</v>
      </c>
      <c r="S332" s="2">
        <v>2637808.56</v>
      </c>
      <c r="T332" s="1">
        <v>1.4337970455293389E-3</v>
      </c>
    </row>
    <row r="333" spans="1:20" x14ac:dyDescent="0.3">
      <c r="A333" s="30" t="s">
        <v>118</v>
      </c>
      <c r="B333" s="30" t="s">
        <v>119</v>
      </c>
      <c r="C333" s="30" t="s">
        <v>257</v>
      </c>
      <c r="D333">
        <v>2025</v>
      </c>
      <c r="E333">
        <v>301</v>
      </c>
      <c r="F333" s="30" t="s">
        <v>176</v>
      </c>
      <c r="G333" s="30" t="s">
        <v>125</v>
      </c>
      <c r="H333" s="30" t="s">
        <v>126</v>
      </c>
      <c r="I333" s="2">
        <v>1115.8699999999999</v>
      </c>
      <c r="J333" s="2">
        <v>131.66999999999999</v>
      </c>
      <c r="K333" s="2">
        <v>35.945900000000002</v>
      </c>
      <c r="L333" s="2">
        <v>10.53</v>
      </c>
      <c r="M333" s="2">
        <v>572</v>
      </c>
      <c r="N333" s="2">
        <v>0</v>
      </c>
      <c r="O333" s="2">
        <v>0</v>
      </c>
      <c r="P333" s="2">
        <v>0</v>
      </c>
      <c r="Q333" s="2">
        <v>1734.3459</v>
      </c>
      <c r="R333" s="2">
        <v>0</v>
      </c>
      <c r="S333" s="2">
        <v>2637808.56</v>
      </c>
      <c r="T333" s="1">
        <v>6.5749498894643061E-4</v>
      </c>
    </row>
    <row r="334" spans="1:20" x14ac:dyDescent="0.3">
      <c r="A334" s="30" t="s">
        <v>118</v>
      </c>
      <c r="B334" s="30" t="s">
        <v>119</v>
      </c>
      <c r="C334" s="30" t="s">
        <v>257</v>
      </c>
      <c r="D334">
        <v>2025</v>
      </c>
      <c r="E334">
        <v>302</v>
      </c>
      <c r="F334" s="30" t="s">
        <v>177</v>
      </c>
      <c r="G334" s="30" t="s">
        <v>33</v>
      </c>
      <c r="H334" s="30" t="s">
        <v>50</v>
      </c>
      <c r="I334" s="2">
        <v>2074.84</v>
      </c>
      <c r="J334" s="2">
        <v>2073.04</v>
      </c>
      <c r="K334" s="2">
        <v>565.93989999999997</v>
      </c>
      <c r="L334" s="2">
        <v>165.84</v>
      </c>
      <c r="M334" s="2">
        <v>448</v>
      </c>
      <c r="N334" s="2">
        <v>80</v>
      </c>
      <c r="O334" s="2">
        <v>0</v>
      </c>
      <c r="P334" s="2">
        <v>0</v>
      </c>
      <c r="Q334" s="2">
        <v>3334.6199000000001</v>
      </c>
      <c r="R334" s="2">
        <v>99.84</v>
      </c>
      <c r="S334" s="2">
        <v>2637808.56</v>
      </c>
      <c r="T334" s="1">
        <v>1.2641629762548043E-3</v>
      </c>
    </row>
    <row r="335" spans="1:20" x14ac:dyDescent="0.3">
      <c r="A335" s="30" t="s">
        <v>118</v>
      </c>
      <c r="B335" s="30" t="s">
        <v>119</v>
      </c>
      <c r="C335" s="30" t="s">
        <v>257</v>
      </c>
      <c r="D335">
        <v>2025</v>
      </c>
      <c r="E335">
        <v>303</v>
      </c>
      <c r="F335" s="30" t="s">
        <v>178</v>
      </c>
      <c r="G335" s="30" t="s">
        <v>39</v>
      </c>
      <c r="H335" s="30" t="s">
        <v>60</v>
      </c>
      <c r="I335" s="2">
        <v>1558.82</v>
      </c>
      <c r="J335" s="2">
        <v>332.06</v>
      </c>
      <c r="K335" s="2">
        <v>90.6524</v>
      </c>
      <c r="L335" s="2">
        <v>26.56</v>
      </c>
      <c r="M335" s="2">
        <v>322</v>
      </c>
      <c r="N335" s="2">
        <v>0</v>
      </c>
      <c r="O335" s="2">
        <v>0</v>
      </c>
      <c r="P335" s="2">
        <v>0</v>
      </c>
      <c r="Q335" s="2">
        <v>1998.0324000000001</v>
      </c>
      <c r="R335" s="2">
        <v>2.9</v>
      </c>
      <c r="S335" s="2">
        <v>2637808.56</v>
      </c>
      <c r="T335" s="1">
        <v>7.5745920697141108E-4</v>
      </c>
    </row>
    <row r="336" spans="1:20" x14ac:dyDescent="0.3">
      <c r="A336" s="30" t="s">
        <v>118</v>
      </c>
      <c r="B336" s="30" t="s">
        <v>119</v>
      </c>
      <c r="C336" s="30" t="s">
        <v>273</v>
      </c>
      <c r="D336">
        <v>2025</v>
      </c>
      <c r="E336">
        <v>310</v>
      </c>
      <c r="F336" s="30" t="s">
        <v>283</v>
      </c>
      <c r="G336" s="30" t="s">
        <v>125</v>
      </c>
      <c r="H336" s="30" t="s">
        <v>126</v>
      </c>
      <c r="I336" s="2">
        <v>1834.38</v>
      </c>
      <c r="J336" s="2">
        <v>1781.14</v>
      </c>
      <c r="K336" s="2">
        <v>486.25119999999998</v>
      </c>
      <c r="L336" s="2">
        <v>142.49</v>
      </c>
      <c r="M336" s="2">
        <v>378</v>
      </c>
      <c r="Q336" s="2">
        <v>2841.1212</v>
      </c>
      <c r="R336" s="2">
        <v>56.88</v>
      </c>
      <c r="S336" s="2">
        <v>2559361.83</v>
      </c>
      <c r="T336" s="1">
        <v>1.1100897054481739E-3</v>
      </c>
    </row>
    <row r="337" spans="1:20" x14ac:dyDescent="0.3">
      <c r="A337" s="30" t="s">
        <v>118</v>
      </c>
      <c r="B337" s="30" t="s">
        <v>119</v>
      </c>
      <c r="C337" s="30" t="s">
        <v>273</v>
      </c>
      <c r="D337">
        <v>2025</v>
      </c>
      <c r="E337">
        <v>294</v>
      </c>
      <c r="F337" s="30" t="s">
        <v>121</v>
      </c>
      <c r="G337" s="30" t="s">
        <v>39</v>
      </c>
      <c r="H337" s="30" t="s">
        <v>60</v>
      </c>
      <c r="I337" s="2">
        <v>2109.21</v>
      </c>
      <c r="J337" s="2">
        <v>2019.44</v>
      </c>
      <c r="K337" s="2">
        <v>551.30709999999999</v>
      </c>
      <c r="L337" s="2">
        <v>161.55000000000001</v>
      </c>
      <c r="M337" s="2">
        <v>336</v>
      </c>
      <c r="P337" s="2">
        <v>306.8</v>
      </c>
      <c r="Q337" s="2">
        <v>3464.8670999999999</v>
      </c>
      <c r="R337" s="2">
        <v>134.21</v>
      </c>
      <c r="S337" s="2">
        <v>2559361.83</v>
      </c>
      <c r="T337" s="1">
        <v>1.353801201293996E-3</v>
      </c>
    </row>
    <row r="338" spans="1:20" x14ac:dyDescent="0.3">
      <c r="A338" s="30" t="s">
        <v>118</v>
      </c>
      <c r="B338" s="30" t="s">
        <v>119</v>
      </c>
      <c r="C338" s="30" t="s">
        <v>273</v>
      </c>
      <c r="D338">
        <v>2025</v>
      </c>
      <c r="E338">
        <v>92</v>
      </c>
      <c r="F338" s="30" t="s">
        <v>122</v>
      </c>
      <c r="G338" s="30" t="s">
        <v>29</v>
      </c>
      <c r="H338" s="30" t="s">
        <v>111</v>
      </c>
      <c r="I338" s="2">
        <v>2903.31</v>
      </c>
      <c r="J338" s="2">
        <v>2903.31</v>
      </c>
      <c r="K338" s="2">
        <v>792.60360000000003</v>
      </c>
      <c r="L338" s="2">
        <v>232.26</v>
      </c>
      <c r="M338" s="2">
        <v>594</v>
      </c>
      <c r="Q338" s="2">
        <v>4522.1736000000001</v>
      </c>
      <c r="R338" s="2">
        <v>582.01</v>
      </c>
      <c r="S338" s="2">
        <v>2559361.83</v>
      </c>
      <c r="T338" s="1">
        <v>1.766914539785881E-3</v>
      </c>
    </row>
    <row r="339" spans="1:20" x14ac:dyDescent="0.3">
      <c r="A339" s="30" t="s">
        <v>118</v>
      </c>
      <c r="B339" s="30" t="s">
        <v>119</v>
      </c>
      <c r="C339" s="30" t="s">
        <v>273</v>
      </c>
      <c r="D339">
        <v>2025</v>
      </c>
      <c r="E339">
        <v>269</v>
      </c>
      <c r="F339" s="30" t="s">
        <v>123</v>
      </c>
      <c r="G339" s="30" t="s">
        <v>33</v>
      </c>
      <c r="H339" s="30" t="s">
        <v>94</v>
      </c>
      <c r="I339" s="2">
        <v>2833.92</v>
      </c>
      <c r="J339" s="2">
        <v>2828.63</v>
      </c>
      <c r="K339" s="2">
        <v>772.21600000000001</v>
      </c>
      <c r="L339" s="2">
        <v>226.29</v>
      </c>
      <c r="M339" s="2">
        <v>322</v>
      </c>
      <c r="P339" s="2">
        <v>274.8</v>
      </c>
      <c r="Q339" s="2">
        <v>4429.2259999999997</v>
      </c>
      <c r="R339" s="2">
        <v>595.67999999999995</v>
      </c>
      <c r="S339" s="2">
        <v>2559361.83</v>
      </c>
      <c r="T339" s="1">
        <v>1.7305978146903908E-3</v>
      </c>
    </row>
    <row r="340" spans="1:20" x14ac:dyDescent="0.3">
      <c r="A340" s="30" t="s">
        <v>118</v>
      </c>
      <c r="B340" s="30" t="s">
        <v>119</v>
      </c>
      <c r="C340" s="30" t="s">
        <v>273</v>
      </c>
      <c r="D340">
        <v>2025</v>
      </c>
      <c r="E340">
        <v>292</v>
      </c>
      <c r="F340" s="30" t="s">
        <v>127</v>
      </c>
      <c r="G340" s="30" t="s">
        <v>125</v>
      </c>
      <c r="H340" s="30" t="s">
        <v>126</v>
      </c>
      <c r="I340" s="2">
        <v>2172.86</v>
      </c>
      <c r="J340" s="2">
        <v>2167.65</v>
      </c>
      <c r="K340" s="2">
        <v>591.76850000000002</v>
      </c>
      <c r="L340" s="2">
        <v>173.41</v>
      </c>
      <c r="M340" s="2">
        <v>336</v>
      </c>
      <c r="Q340" s="2">
        <v>3274.0383999999999</v>
      </c>
      <c r="R340" s="2">
        <v>197.86</v>
      </c>
      <c r="S340" s="2">
        <v>2559361.83</v>
      </c>
      <c r="T340" s="1">
        <v>1.279240165115692E-3</v>
      </c>
    </row>
    <row r="341" spans="1:20" x14ac:dyDescent="0.3">
      <c r="A341" s="30" t="s">
        <v>118</v>
      </c>
      <c r="B341" s="30" t="s">
        <v>119</v>
      </c>
      <c r="C341" s="30" t="s">
        <v>273</v>
      </c>
      <c r="D341">
        <v>2025</v>
      </c>
      <c r="E341">
        <v>293</v>
      </c>
      <c r="F341" s="30" t="s">
        <v>128</v>
      </c>
      <c r="G341" s="30" t="s">
        <v>89</v>
      </c>
      <c r="H341" s="30" t="s">
        <v>50</v>
      </c>
      <c r="I341" s="2">
        <v>2342.08</v>
      </c>
      <c r="J341" s="2">
        <v>2342.08</v>
      </c>
      <c r="K341" s="2">
        <v>639.38779999999997</v>
      </c>
      <c r="L341" s="2">
        <v>187.36</v>
      </c>
      <c r="M341" s="2">
        <v>436</v>
      </c>
      <c r="P341" s="2">
        <v>306.8</v>
      </c>
      <c r="Q341" s="2">
        <v>3911.6278000000002</v>
      </c>
      <c r="R341" s="2">
        <v>367.08</v>
      </c>
      <c r="S341" s="2">
        <v>2559361.83</v>
      </c>
      <c r="T341" s="1">
        <v>1.5283606226166153E-3</v>
      </c>
    </row>
    <row r="342" spans="1:20" x14ac:dyDescent="0.3">
      <c r="A342" s="30" t="s">
        <v>118</v>
      </c>
      <c r="B342" s="30" t="s">
        <v>119</v>
      </c>
      <c r="C342" s="30" t="s">
        <v>273</v>
      </c>
      <c r="D342">
        <v>2025</v>
      </c>
      <c r="E342">
        <v>248</v>
      </c>
      <c r="F342" s="30" t="s">
        <v>129</v>
      </c>
      <c r="G342" s="30" t="s">
        <v>125</v>
      </c>
      <c r="H342" s="30" t="s">
        <v>126</v>
      </c>
      <c r="I342" s="2">
        <v>2032.45</v>
      </c>
      <c r="J342" s="2">
        <v>2032.45</v>
      </c>
      <c r="K342" s="2">
        <v>554.85889999999995</v>
      </c>
      <c r="L342" s="2">
        <v>162.59</v>
      </c>
      <c r="M342" s="2">
        <v>336</v>
      </c>
      <c r="Q342" s="2">
        <v>3085.8989000000001</v>
      </c>
      <c r="R342" s="2">
        <v>57.45</v>
      </c>
      <c r="S342" s="2">
        <v>2559361.83</v>
      </c>
      <c r="T342" s="1">
        <v>1.2057298088250384E-3</v>
      </c>
    </row>
    <row r="343" spans="1:20" x14ac:dyDescent="0.3">
      <c r="A343" s="30" t="s">
        <v>118</v>
      </c>
      <c r="B343" s="30" t="s">
        <v>119</v>
      </c>
      <c r="C343" s="30" t="s">
        <v>273</v>
      </c>
      <c r="D343">
        <v>2025</v>
      </c>
      <c r="E343">
        <v>234</v>
      </c>
      <c r="F343" s="30" t="s">
        <v>130</v>
      </c>
      <c r="G343" s="30" t="s">
        <v>29</v>
      </c>
      <c r="H343" s="30" t="s">
        <v>30</v>
      </c>
      <c r="I343" s="2">
        <v>2380.86</v>
      </c>
      <c r="J343" s="2">
        <v>1943.14</v>
      </c>
      <c r="K343" s="2">
        <v>530.47720000000004</v>
      </c>
      <c r="L343" s="2">
        <v>155.44999999999999</v>
      </c>
      <c r="M343" s="2">
        <v>236</v>
      </c>
      <c r="Q343" s="2">
        <v>3302.7872000000002</v>
      </c>
      <c r="R343" s="2">
        <v>159.86000000000001</v>
      </c>
      <c r="S343" s="2">
        <v>2559361.83</v>
      </c>
      <c r="T343" s="1">
        <v>1.2904729535643657E-3</v>
      </c>
    </row>
    <row r="344" spans="1:20" x14ac:dyDescent="0.3">
      <c r="A344" s="30" t="s">
        <v>118</v>
      </c>
      <c r="B344" s="30" t="s">
        <v>119</v>
      </c>
      <c r="C344" s="30" t="s">
        <v>273</v>
      </c>
      <c r="D344">
        <v>2025</v>
      </c>
      <c r="E344">
        <v>305</v>
      </c>
      <c r="F344" s="30" t="s">
        <v>266</v>
      </c>
      <c r="G344" s="30" t="s">
        <v>29</v>
      </c>
      <c r="H344" s="30" t="s">
        <v>30</v>
      </c>
      <c r="I344" s="2">
        <v>2463.5500000000002</v>
      </c>
      <c r="J344" s="2">
        <v>2463.5500000000002</v>
      </c>
      <c r="K344" s="2">
        <v>672.54920000000004</v>
      </c>
      <c r="L344" s="2">
        <v>197.08</v>
      </c>
      <c r="M344" s="2">
        <v>743</v>
      </c>
      <c r="N344" s="2">
        <v>80</v>
      </c>
      <c r="Q344" s="2">
        <v>4156.1791000000003</v>
      </c>
      <c r="R344" s="2">
        <v>242.55</v>
      </c>
      <c r="S344" s="2">
        <v>2559361.83</v>
      </c>
      <c r="T344" s="1">
        <v>1.6239122976996184E-3</v>
      </c>
    </row>
    <row r="345" spans="1:20" x14ac:dyDescent="0.3">
      <c r="A345" s="30" t="s">
        <v>118</v>
      </c>
      <c r="B345" s="30" t="s">
        <v>119</v>
      </c>
      <c r="C345" s="30" t="s">
        <v>273</v>
      </c>
      <c r="D345">
        <v>2025</v>
      </c>
      <c r="E345">
        <v>308</v>
      </c>
      <c r="F345" s="30" t="s">
        <v>267</v>
      </c>
      <c r="G345" s="30" t="s">
        <v>26</v>
      </c>
      <c r="H345" s="30" t="s">
        <v>60</v>
      </c>
      <c r="I345" s="2">
        <v>2366.9499999999998</v>
      </c>
      <c r="J345" s="2">
        <v>2345.14</v>
      </c>
      <c r="K345" s="2">
        <v>640.22320000000002</v>
      </c>
      <c r="L345" s="2">
        <v>187.61</v>
      </c>
      <c r="M345" s="2">
        <v>336</v>
      </c>
      <c r="Q345" s="2">
        <v>3530.7831999999999</v>
      </c>
      <c r="R345" s="2">
        <v>391.95</v>
      </c>
      <c r="S345" s="2">
        <v>2559361.83</v>
      </c>
      <c r="T345" s="1">
        <v>1.3795560981699881E-3</v>
      </c>
    </row>
    <row r="346" spans="1:20" x14ac:dyDescent="0.3">
      <c r="A346" s="30" t="s">
        <v>118</v>
      </c>
      <c r="B346" s="30" t="s">
        <v>119</v>
      </c>
      <c r="C346" s="30" t="s">
        <v>273</v>
      </c>
      <c r="D346">
        <v>2025</v>
      </c>
      <c r="E346">
        <v>273</v>
      </c>
      <c r="F346" s="30" t="s">
        <v>131</v>
      </c>
      <c r="G346" s="30" t="s">
        <v>125</v>
      </c>
      <c r="H346" s="30" t="s">
        <v>126</v>
      </c>
      <c r="I346" s="2">
        <v>2111.81</v>
      </c>
      <c r="J346" s="2">
        <v>2111.81</v>
      </c>
      <c r="K346" s="2">
        <v>576.52409999999998</v>
      </c>
      <c r="L346" s="2">
        <v>168.94</v>
      </c>
      <c r="M346" s="2">
        <v>336</v>
      </c>
      <c r="N346" s="2">
        <v>80</v>
      </c>
      <c r="Q346" s="2">
        <v>3273.2741000000001</v>
      </c>
      <c r="R346" s="2">
        <v>136.81</v>
      </c>
      <c r="S346" s="2">
        <v>2559361.83</v>
      </c>
      <c r="T346" s="1">
        <v>1.2789415281699342E-3</v>
      </c>
    </row>
    <row r="347" spans="1:20" x14ac:dyDescent="0.3">
      <c r="A347" s="30" t="s">
        <v>118</v>
      </c>
      <c r="B347" s="30" t="s">
        <v>119</v>
      </c>
      <c r="C347" s="30" t="s">
        <v>273</v>
      </c>
      <c r="D347">
        <v>2025</v>
      </c>
      <c r="E347">
        <v>76</v>
      </c>
      <c r="F347" s="30" t="s">
        <v>132</v>
      </c>
      <c r="G347" s="30" t="s">
        <v>125</v>
      </c>
      <c r="H347" s="30" t="s">
        <v>133</v>
      </c>
      <c r="I347" s="2">
        <v>2731.33</v>
      </c>
      <c r="J347" s="2">
        <v>2731.33</v>
      </c>
      <c r="K347" s="2">
        <v>745.65309999999999</v>
      </c>
      <c r="L347" s="2">
        <v>218.5</v>
      </c>
      <c r="M347" s="2">
        <v>372</v>
      </c>
      <c r="O347" s="2">
        <v>122.84</v>
      </c>
      <c r="P347" s="2">
        <v>306.8</v>
      </c>
      <c r="Q347" s="2">
        <v>4497.1230999999998</v>
      </c>
      <c r="R347" s="2">
        <v>410.03</v>
      </c>
      <c r="S347" s="2">
        <v>2559361.83</v>
      </c>
      <c r="T347" s="1">
        <v>1.757126732643348E-3</v>
      </c>
    </row>
    <row r="348" spans="1:20" x14ac:dyDescent="0.3">
      <c r="A348" s="30" t="s">
        <v>118</v>
      </c>
      <c r="B348" s="30" t="s">
        <v>119</v>
      </c>
      <c r="C348" s="30" t="s">
        <v>273</v>
      </c>
      <c r="D348">
        <v>2025</v>
      </c>
      <c r="E348">
        <v>304</v>
      </c>
      <c r="F348" s="30" t="s">
        <v>268</v>
      </c>
      <c r="G348" s="30" t="s">
        <v>89</v>
      </c>
      <c r="H348" s="30" t="s">
        <v>50</v>
      </c>
      <c r="I348" s="2">
        <v>2189.65</v>
      </c>
      <c r="J348" s="2">
        <v>2171.4299999999998</v>
      </c>
      <c r="K348" s="2">
        <v>592.80039999999997</v>
      </c>
      <c r="L348" s="2">
        <v>173.71</v>
      </c>
      <c r="M348" s="2">
        <v>629</v>
      </c>
      <c r="P348" s="2">
        <v>306.8</v>
      </c>
      <c r="Q348" s="2">
        <v>3891.9603999999999</v>
      </c>
      <c r="R348" s="2">
        <v>214.65</v>
      </c>
      <c r="S348" s="2">
        <v>2559361.83</v>
      </c>
      <c r="T348" s="1">
        <v>1.5206761093252688E-3</v>
      </c>
    </row>
    <row r="349" spans="1:20" x14ac:dyDescent="0.3">
      <c r="A349" s="30" t="s">
        <v>118</v>
      </c>
      <c r="B349" s="30" t="s">
        <v>119</v>
      </c>
      <c r="C349" s="30" t="s">
        <v>273</v>
      </c>
      <c r="D349">
        <v>2025</v>
      </c>
      <c r="E349">
        <v>297</v>
      </c>
      <c r="F349" s="30" t="s">
        <v>134</v>
      </c>
      <c r="G349" s="30" t="s">
        <v>33</v>
      </c>
      <c r="H349" s="30" t="s">
        <v>50</v>
      </c>
      <c r="I349" s="2">
        <v>1989.73</v>
      </c>
      <c r="J349" s="2">
        <v>1607.32</v>
      </c>
      <c r="K349" s="2">
        <v>438.79840000000002</v>
      </c>
      <c r="L349" s="2">
        <v>128.58000000000001</v>
      </c>
      <c r="M349" s="2">
        <v>238</v>
      </c>
      <c r="Q349" s="2">
        <v>2795.1084000000001</v>
      </c>
      <c r="R349" s="2">
        <v>14.73</v>
      </c>
      <c r="S349" s="2">
        <v>2559361.83</v>
      </c>
      <c r="T349" s="1">
        <v>1.0921114502985302E-3</v>
      </c>
    </row>
    <row r="350" spans="1:20" x14ac:dyDescent="0.3">
      <c r="A350" s="30" t="s">
        <v>118</v>
      </c>
      <c r="B350" s="30" t="s">
        <v>119</v>
      </c>
      <c r="C350" s="30" t="s">
        <v>273</v>
      </c>
      <c r="D350">
        <v>2025</v>
      </c>
      <c r="E350">
        <v>296</v>
      </c>
      <c r="F350" s="30" t="s">
        <v>135</v>
      </c>
      <c r="G350" s="30" t="s">
        <v>29</v>
      </c>
      <c r="H350" s="30" t="s">
        <v>30</v>
      </c>
      <c r="I350" s="2">
        <v>2500.96</v>
      </c>
      <c r="J350" s="2">
        <v>2458.65</v>
      </c>
      <c r="K350" s="2">
        <v>671.2115</v>
      </c>
      <c r="L350" s="2">
        <v>196.69</v>
      </c>
      <c r="M350" s="2">
        <v>338</v>
      </c>
      <c r="N350" s="2">
        <v>80</v>
      </c>
      <c r="P350" s="2">
        <v>306.8</v>
      </c>
      <c r="Q350" s="2">
        <v>4093.6615000000002</v>
      </c>
      <c r="R350" s="2">
        <v>279.95999999999998</v>
      </c>
      <c r="S350" s="2">
        <v>2559361.83</v>
      </c>
      <c r="T350" s="1">
        <v>1.5994852318321868E-3</v>
      </c>
    </row>
    <row r="351" spans="1:20" x14ac:dyDescent="0.3">
      <c r="A351" s="30" t="s">
        <v>118</v>
      </c>
      <c r="B351" s="30" t="s">
        <v>119</v>
      </c>
      <c r="C351" s="30" t="s">
        <v>273</v>
      </c>
      <c r="D351">
        <v>2025</v>
      </c>
      <c r="E351">
        <v>284</v>
      </c>
      <c r="F351" s="30" t="s">
        <v>136</v>
      </c>
      <c r="G351" s="30" t="s">
        <v>33</v>
      </c>
      <c r="H351" s="30" t="s">
        <v>50</v>
      </c>
      <c r="I351" s="2">
        <v>2272.69</v>
      </c>
      <c r="J351" s="2">
        <v>2265.69</v>
      </c>
      <c r="K351" s="2">
        <v>618.53340000000003</v>
      </c>
      <c r="L351" s="2">
        <v>181.25</v>
      </c>
      <c r="M351" s="2">
        <v>336</v>
      </c>
      <c r="N351" s="2">
        <v>80</v>
      </c>
      <c r="Q351" s="2">
        <v>3488.4733999999999</v>
      </c>
      <c r="R351" s="2">
        <v>297.69</v>
      </c>
      <c r="S351" s="2">
        <v>2559361.83</v>
      </c>
      <c r="T351" s="1">
        <v>1.3630246919795628E-3</v>
      </c>
    </row>
    <row r="352" spans="1:20" x14ac:dyDescent="0.3">
      <c r="A352" s="30" t="s">
        <v>118</v>
      </c>
      <c r="B352" s="30" t="s">
        <v>119</v>
      </c>
      <c r="C352" s="30" t="s">
        <v>273</v>
      </c>
      <c r="D352">
        <v>2025</v>
      </c>
      <c r="E352">
        <v>266</v>
      </c>
      <c r="F352" s="30" t="s">
        <v>138</v>
      </c>
      <c r="G352" s="30" t="s">
        <v>29</v>
      </c>
      <c r="H352" s="30" t="s">
        <v>30</v>
      </c>
      <c r="I352" s="2">
        <v>2224.48</v>
      </c>
      <c r="J352" s="2">
        <v>2165.56</v>
      </c>
      <c r="K352" s="2">
        <v>591.1979</v>
      </c>
      <c r="L352" s="2">
        <v>173.24</v>
      </c>
      <c r="M352" s="2">
        <v>349</v>
      </c>
      <c r="O352" s="2">
        <v>122.84</v>
      </c>
      <c r="Q352" s="2">
        <v>3460.7579000000001</v>
      </c>
      <c r="R352" s="2">
        <v>3.48</v>
      </c>
      <c r="S352" s="2">
        <v>2559361.83</v>
      </c>
      <c r="T352" s="1">
        <v>1.3521956291736993E-3</v>
      </c>
    </row>
    <row r="353" spans="1:20" x14ac:dyDescent="0.3">
      <c r="A353" s="30" t="s">
        <v>118</v>
      </c>
      <c r="B353" s="30" t="s">
        <v>119</v>
      </c>
      <c r="C353" s="30" t="s">
        <v>273</v>
      </c>
      <c r="D353">
        <v>2025</v>
      </c>
      <c r="E353">
        <v>242</v>
      </c>
      <c r="F353" s="30" t="s">
        <v>140</v>
      </c>
      <c r="G353" s="30" t="s">
        <v>29</v>
      </c>
      <c r="H353" s="30" t="s">
        <v>111</v>
      </c>
      <c r="I353" s="2">
        <v>2454.6799999999998</v>
      </c>
      <c r="J353" s="2">
        <v>2454.6799999999998</v>
      </c>
      <c r="K353" s="2">
        <v>670.12760000000003</v>
      </c>
      <c r="L353" s="2">
        <v>196.37</v>
      </c>
      <c r="M353" s="2">
        <v>600</v>
      </c>
      <c r="N353" s="2">
        <v>80</v>
      </c>
      <c r="Q353" s="2">
        <v>4001.1776</v>
      </c>
      <c r="R353" s="2">
        <v>133.38</v>
      </c>
      <c r="S353" s="2">
        <v>2559361.83</v>
      </c>
      <c r="T353" s="1">
        <v>1.5633497355080894E-3</v>
      </c>
    </row>
    <row r="354" spans="1:20" x14ac:dyDescent="0.3">
      <c r="A354" s="30" t="s">
        <v>118</v>
      </c>
      <c r="B354" s="30" t="s">
        <v>119</v>
      </c>
      <c r="C354" s="30" t="s">
        <v>273</v>
      </c>
      <c r="D354">
        <v>2025</v>
      </c>
      <c r="E354">
        <v>78</v>
      </c>
      <c r="F354" s="30" t="s">
        <v>141</v>
      </c>
      <c r="G354" s="30" t="s">
        <v>29</v>
      </c>
      <c r="H354" s="30" t="s">
        <v>30</v>
      </c>
      <c r="I354" s="2">
        <v>2392.94</v>
      </c>
      <c r="J354" s="2">
        <v>2367.63</v>
      </c>
      <c r="K354" s="2">
        <v>646.36300000000006</v>
      </c>
      <c r="L354" s="2">
        <v>189.41</v>
      </c>
      <c r="M354" s="2">
        <v>309</v>
      </c>
      <c r="O354" s="2">
        <v>122.84</v>
      </c>
      <c r="Q354" s="2">
        <v>3660.5529999999999</v>
      </c>
      <c r="R354" s="2">
        <v>171.94</v>
      </c>
      <c r="S354" s="2">
        <v>2559361.83</v>
      </c>
      <c r="T354" s="1">
        <v>1.4302600543198692E-3</v>
      </c>
    </row>
    <row r="355" spans="1:20" x14ac:dyDescent="0.3">
      <c r="A355" s="30" t="s">
        <v>118</v>
      </c>
      <c r="B355" s="30" t="s">
        <v>119</v>
      </c>
      <c r="C355" s="30" t="s">
        <v>273</v>
      </c>
      <c r="D355">
        <v>2025</v>
      </c>
      <c r="E355">
        <v>286</v>
      </c>
      <c r="F355" s="30" t="s">
        <v>142</v>
      </c>
      <c r="G355" s="30" t="s">
        <v>26</v>
      </c>
      <c r="H355" s="30" t="s">
        <v>60</v>
      </c>
      <c r="I355" s="2">
        <v>2271.79</v>
      </c>
      <c r="J355" s="2">
        <v>2205.9899999999998</v>
      </c>
      <c r="K355" s="2">
        <v>602.23530000000005</v>
      </c>
      <c r="L355" s="2">
        <v>176.47</v>
      </c>
      <c r="M355" s="2">
        <v>224</v>
      </c>
      <c r="Q355" s="2">
        <v>3274.4953</v>
      </c>
      <c r="R355" s="2">
        <v>296.79000000000002</v>
      </c>
      <c r="S355" s="2">
        <v>2559361.83</v>
      </c>
      <c r="T355" s="1">
        <v>1.2794186549230516E-3</v>
      </c>
    </row>
    <row r="356" spans="1:20" x14ac:dyDescent="0.3">
      <c r="A356" s="30" t="s">
        <v>118</v>
      </c>
      <c r="B356" s="30" t="s">
        <v>119</v>
      </c>
      <c r="C356" s="30" t="s">
        <v>273</v>
      </c>
      <c r="D356">
        <v>2025</v>
      </c>
      <c r="E356">
        <v>262</v>
      </c>
      <c r="F356" s="30" t="s">
        <v>143</v>
      </c>
      <c r="G356" s="30" t="s">
        <v>29</v>
      </c>
      <c r="H356" s="30" t="s">
        <v>111</v>
      </c>
      <c r="I356" s="2">
        <v>2890.19</v>
      </c>
      <c r="J356" s="2">
        <v>2849.25</v>
      </c>
      <c r="K356" s="2">
        <v>777.84529999999995</v>
      </c>
      <c r="L356" s="2">
        <v>227.94</v>
      </c>
      <c r="M356" s="2">
        <v>600</v>
      </c>
      <c r="N356" s="2">
        <v>80</v>
      </c>
      <c r="Q356" s="2">
        <v>4575.9753000000001</v>
      </c>
      <c r="R356" s="2">
        <v>568.89</v>
      </c>
      <c r="S356" s="2">
        <v>2559361.83</v>
      </c>
      <c r="T356" s="1">
        <v>1.7879360379458344E-3</v>
      </c>
    </row>
    <row r="357" spans="1:20" x14ac:dyDescent="0.3">
      <c r="A357" s="30" t="s">
        <v>118</v>
      </c>
      <c r="B357" s="30" t="s">
        <v>119</v>
      </c>
      <c r="C357" s="30" t="s">
        <v>273</v>
      </c>
      <c r="D357">
        <v>2025</v>
      </c>
      <c r="E357">
        <v>252</v>
      </c>
      <c r="F357" s="30" t="s">
        <v>144</v>
      </c>
      <c r="G357" s="30" t="s">
        <v>29</v>
      </c>
      <c r="H357" s="30" t="s">
        <v>30</v>
      </c>
      <c r="I357" s="2">
        <v>2598.09</v>
      </c>
      <c r="J357" s="2">
        <v>2598.09</v>
      </c>
      <c r="K357" s="2">
        <v>709.27859999999998</v>
      </c>
      <c r="L357" s="2">
        <v>207.84</v>
      </c>
      <c r="M357" s="2">
        <v>349</v>
      </c>
      <c r="N357" s="2">
        <v>80</v>
      </c>
      <c r="O357" s="2">
        <v>122.84</v>
      </c>
      <c r="Q357" s="2">
        <v>4067.0486000000001</v>
      </c>
      <c r="R357" s="2">
        <v>377.09</v>
      </c>
      <c r="S357" s="2">
        <v>2559361.83</v>
      </c>
      <c r="T357" s="1">
        <v>1.5890869834532149E-3</v>
      </c>
    </row>
    <row r="358" spans="1:20" x14ac:dyDescent="0.3">
      <c r="A358" s="30" t="s">
        <v>118</v>
      </c>
      <c r="B358" s="30" t="s">
        <v>119</v>
      </c>
      <c r="C358" s="30" t="s">
        <v>273</v>
      </c>
      <c r="D358">
        <v>2025</v>
      </c>
      <c r="E358">
        <v>274</v>
      </c>
      <c r="F358" s="30" t="s">
        <v>145</v>
      </c>
      <c r="G358" s="30" t="s">
        <v>33</v>
      </c>
      <c r="H358" s="30" t="s">
        <v>50</v>
      </c>
      <c r="I358" s="2">
        <v>2294.5</v>
      </c>
      <c r="J358" s="2">
        <v>515.38</v>
      </c>
      <c r="K358" s="2">
        <v>140.6987</v>
      </c>
      <c r="L358" s="2">
        <v>41.23</v>
      </c>
      <c r="M358" s="2">
        <v>224</v>
      </c>
      <c r="Q358" s="2">
        <v>2700.4286999999999</v>
      </c>
      <c r="R358" s="2">
        <v>0</v>
      </c>
      <c r="S358" s="2">
        <v>2559361.83</v>
      </c>
      <c r="T358" s="1">
        <v>1.0551180018184454E-3</v>
      </c>
    </row>
    <row r="359" spans="1:20" x14ac:dyDescent="0.3">
      <c r="A359" s="30" t="s">
        <v>118</v>
      </c>
      <c r="B359" s="30" t="s">
        <v>119</v>
      </c>
      <c r="C359" s="30" t="s">
        <v>273</v>
      </c>
      <c r="D359">
        <v>2025</v>
      </c>
      <c r="E359">
        <v>313</v>
      </c>
      <c r="F359" s="30" t="s">
        <v>284</v>
      </c>
      <c r="G359" s="30" t="s">
        <v>217</v>
      </c>
      <c r="H359" s="30" t="s">
        <v>218</v>
      </c>
      <c r="I359" s="2">
        <v>1110.95</v>
      </c>
      <c r="J359" s="2">
        <v>924.53</v>
      </c>
      <c r="K359" s="2">
        <v>252.39670000000001</v>
      </c>
      <c r="L359" s="2">
        <v>73.959999999999994</v>
      </c>
      <c r="Q359" s="2">
        <v>1437.3067000000001</v>
      </c>
      <c r="R359" s="2">
        <v>189.28</v>
      </c>
      <c r="S359" s="2">
        <v>2559361.83</v>
      </c>
      <c r="T359" s="1">
        <v>5.6158792131396284E-4</v>
      </c>
    </row>
    <row r="360" spans="1:20" x14ac:dyDescent="0.3">
      <c r="A360" s="30" t="s">
        <v>118</v>
      </c>
      <c r="B360" s="30" t="s">
        <v>119</v>
      </c>
      <c r="C360" s="30" t="s">
        <v>273</v>
      </c>
      <c r="D360">
        <v>2025</v>
      </c>
      <c r="E360">
        <v>183</v>
      </c>
      <c r="F360" s="30" t="s">
        <v>146</v>
      </c>
      <c r="G360" s="30" t="s">
        <v>125</v>
      </c>
      <c r="H360" s="30" t="s">
        <v>126</v>
      </c>
      <c r="I360" s="2">
        <v>2099.4299999999998</v>
      </c>
      <c r="J360" s="2">
        <v>2099.4299999999998</v>
      </c>
      <c r="K360" s="2">
        <v>573.14440000000002</v>
      </c>
      <c r="L360" s="2">
        <v>167.95</v>
      </c>
      <c r="M360" s="2">
        <v>336</v>
      </c>
      <c r="N360" s="2">
        <v>80</v>
      </c>
      <c r="Q360" s="2">
        <v>3256.5243999999998</v>
      </c>
      <c r="R360" s="2">
        <v>124.43</v>
      </c>
      <c r="S360" s="2">
        <v>2559361.83</v>
      </c>
      <c r="T360" s="1">
        <v>1.2723970295360698E-3</v>
      </c>
    </row>
    <row r="361" spans="1:20" x14ac:dyDescent="0.3">
      <c r="A361" s="30" t="s">
        <v>118</v>
      </c>
      <c r="B361" s="30" t="s">
        <v>119</v>
      </c>
      <c r="C361" s="30" t="s">
        <v>273</v>
      </c>
      <c r="D361">
        <v>2025</v>
      </c>
      <c r="E361">
        <v>257</v>
      </c>
      <c r="F361" s="30" t="s">
        <v>147</v>
      </c>
      <c r="G361" s="30" t="s">
        <v>29</v>
      </c>
      <c r="H361" s="30" t="s">
        <v>30</v>
      </c>
      <c r="I361" s="2">
        <v>2376.5100000000002</v>
      </c>
      <c r="J361" s="2">
        <v>2308.6999999999998</v>
      </c>
      <c r="K361" s="2">
        <v>630.27509999999995</v>
      </c>
      <c r="L361" s="2">
        <v>184.69</v>
      </c>
      <c r="M361" s="2">
        <v>335</v>
      </c>
      <c r="Q361" s="2">
        <v>3526.4751000000001</v>
      </c>
      <c r="R361" s="2">
        <v>155.51</v>
      </c>
      <c r="S361" s="2">
        <v>2559361.83</v>
      </c>
      <c r="T361" s="1">
        <v>1.3778728191785215E-3</v>
      </c>
    </row>
    <row r="362" spans="1:20" x14ac:dyDescent="0.3">
      <c r="A362" s="30" t="s">
        <v>118</v>
      </c>
      <c r="B362" s="30" t="s">
        <v>119</v>
      </c>
      <c r="C362" s="30" t="s">
        <v>273</v>
      </c>
      <c r="D362">
        <v>2025</v>
      </c>
      <c r="E362">
        <v>128</v>
      </c>
      <c r="F362" s="30" t="s">
        <v>149</v>
      </c>
      <c r="G362" s="30" t="s">
        <v>33</v>
      </c>
      <c r="H362" s="30" t="s">
        <v>37</v>
      </c>
      <c r="I362" s="2">
        <v>3401.61</v>
      </c>
      <c r="J362" s="2">
        <v>3401.61</v>
      </c>
      <c r="K362" s="2">
        <v>928.6395</v>
      </c>
      <c r="L362" s="2">
        <v>272.12</v>
      </c>
      <c r="M362" s="2">
        <v>500</v>
      </c>
      <c r="N362" s="2">
        <v>80</v>
      </c>
      <c r="Q362" s="2">
        <v>5182.3694999999998</v>
      </c>
      <c r="R362" s="2">
        <v>743.01</v>
      </c>
      <c r="S362" s="2">
        <v>2559361.83</v>
      </c>
      <c r="T362" s="1">
        <v>2.0248678671589003E-3</v>
      </c>
    </row>
    <row r="363" spans="1:20" x14ac:dyDescent="0.3">
      <c r="A363" s="30" t="s">
        <v>118</v>
      </c>
      <c r="B363" s="30" t="s">
        <v>119</v>
      </c>
      <c r="C363" s="30" t="s">
        <v>273</v>
      </c>
      <c r="D363">
        <v>2025</v>
      </c>
      <c r="E363">
        <v>306</v>
      </c>
      <c r="F363" s="30" t="s">
        <v>269</v>
      </c>
      <c r="G363" s="30" t="s">
        <v>29</v>
      </c>
      <c r="H363" s="30" t="s">
        <v>30</v>
      </c>
      <c r="I363" s="2">
        <v>2410.56</v>
      </c>
      <c r="J363" s="2">
        <v>2356.9499999999998</v>
      </c>
      <c r="K363" s="2">
        <v>643.44740000000002</v>
      </c>
      <c r="L363" s="2">
        <v>188.55</v>
      </c>
      <c r="M363" s="2">
        <v>719</v>
      </c>
      <c r="N363" s="2">
        <v>80</v>
      </c>
      <c r="Q363" s="2">
        <v>4041.5574000000001</v>
      </c>
      <c r="R363" s="2">
        <v>189.56</v>
      </c>
      <c r="S363" s="2">
        <v>2559361.83</v>
      </c>
      <c r="T363" s="1">
        <v>1.5791269927628794E-3</v>
      </c>
    </row>
    <row r="364" spans="1:20" x14ac:dyDescent="0.3">
      <c r="A364" s="30" t="s">
        <v>118</v>
      </c>
      <c r="B364" s="30" t="s">
        <v>119</v>
      </c>
      <c r="C364" s="30" t="s">
        <v>273</v>
      </c>
      <c r="D364">
        <v>2025</v>
      </c>
      <c r="E364">
        <v>261</v>
      </c>
      <c r="F364" s="30" t="s">
        <v>151</v>
      </c>
      <c r="G364" s="30" t="s">
        <v>29</v>
      </c>
      <c r="H364" s="30" t="s">
        <v>30</v>
      </c>
      <c r="I364" s="2">
        <v>2546.1799999999998</v>
      </c>
      <c r="J364" s="2">
        <v>2524.7399999999998</v>
      </c>
      <c r="K364" s="2">
        <v>689.25400000000002</v>
      </c>
      <c r="L364" s="2">
        <v>201.97</v>
      </c>
      <c r="M364" s="2">
        <v>349</v>
      </c>
      <c r="Q364" s="2">
        <v>3786.404</v>
      </c>
      <c r="R364" s="2">
        <v>325.18</v>
      </c>
      <c r="S364" s="2">
        <v>2559361.83</v>
      </c>
      <c r="T364" s="1">
        <v>1.4794328709669003E-3</v>
      </c>
    </row>
    <row r="365" spans="1:20" x14ac:dyDescent="0.3">
      <c r="A365" s="30" t="s">
        <v>118</v>
      </c>
      <c r="B365" s="30" t="s">
        <v>119</v>
      </c>
      <c r="C365" s="30" t="s">
        <v>273</v>
      </c>
      <c r="D365">
        <v>2025</v>
      </c>
      <c r="E365">
        <v>175</v>
      </c>
      <c r="F365" s="30" t="s">
        <v>152</v>
      </c>
      <c r="G365" s="30" t="s">
        <v>39</v>
      </c>
      <c r="H365" s="30" t="s">
        <v>55</v>
      </c>
      <c r="I365" s="2">
        <v>2389.58</v>
      </c>
      <c r="J365" s="2">
        <v>2310.73</v>
      </c>
      <c r="K365" s="2">
        <v>630.82929999999999</v>
      </c>
      <c r="L365" s="2">
        <v>184.85</v>
      </c>
      <c r="M365" s="2">
        <v>336</v>
      </c>
      <c r="Q365" s="2">
        <v>3541.2593000000002</v>
      </c>
      <c r="R365" s="2">
        <v>151.34</v>
      </c>
      <c r="S365" s="2">
        <v>2559361.83</v>
      </c>
      <c r="T365" s="1">
        <v>1.3836493333965207E-3</v>
      </c>
    </row>
    <row r="366" spans="1:20" x14ac:dyDescent="0.3">
      <c r="A366" s="30" t="s">
        <v>118</v>
      </c>
      <c r="B366" s="30" t="s">
        <v>119</v>
      </c>
      <c r="C366" s="30" t="s">
        <v>273</v>
      </c>
      <c r="D366">
        <v>2025</v>
      </c>
      <c r="E366">
        <v>124</v>
      </c>
      <c r="F366" s="30" t="s">
        <v>153</v>
      </c>
      <c r="G366" s="30" t="s">
        <v>33</v>
      </c>
      <c r="H366" s="30" t="s">
        <v>37</v>
      </c>
      <c r="I366" s="2">
        <v>3457.51</v>
      </c>
      <c r="J366" s="2">
        <v>3457.51</v>
      </c>
      <c r="K366" s="2">
        <v>943.90020000000004</v>
      </c>
      <c r="L366" s="2">
        <v>276.60000000000002</v>
      </c>
      <c r="M366" s="2">
        <v>486</v>
      </c>
      <c r="Q366" s="2">
        <v>5164.0101999999997</v>
      </c>
      <c r="R366" s="2">
        <v>798.91</v>
      </c>
      <c r="S366" s="2">
        <v>2559361.83</v>
      </c>
      <c r="T366" s="1">
        <v>2.0176944773768074E-3</v>
      </c>
    </row>
    <row r="367" spans="1:20" x14ac:dyDescent="0.3">
      <c r="A367" s="30" t="s">
        <v>118</v>
      </c>
      <c r="B367" s="30" t="s">
        <v>119</v>
      </c>
      <c r="C367" s="30" t="s">
        <v>273</v>
      </c>
      <c r="D367">
        <v>2025</v>
      </c>
      <c r="E367">
        <v>206</v>
      </c>
      <c r="F367" s="30" t="s">
        <v>154</v>
      </c>
      <c r="G367" s="30" t="s">
        <v>33</v>
      </c>
      <c r="H367" s="30" t="s">
        <v>94</v>
      </c>
      <c r="I367" s="2">
        <v>2470.1999999999998</v>
      </c>
      <c r="J367" s="2">
        <v>2467.96</v>
      </c>
      <c r="K367" s="2">
        <v>673.75310000000002</v>
      </c>
      <c r="L367" s="2">
        <v>197.43</v>
      </c>
      <c r="M367" s="2">
        <v>336</v>
      </c>
      <c r="Q367" s="2">
        <v>3677.3831</v>
      </c>
      <c r="R367" s="2">
        <v>231.96</v>
      </c>
      <c r="S367" s="2">
        <v>2559361.83</v>
      </c>
      <c r="T367" s="1">
        <v>1.4368359474986776E-3</v>
      </c>
    </row>
    <row r="368" spans="1:20" x14ac:dyDescent="0.3">
      <c r="A368" s="30" t="s">
        <v>118</v>
      </c>
      <c r="B368" s="30" t="s">
        <v>119</v>
      </c>
      <c r="C368" s="30" t="s">
        <v>273</v>
      </c>
      <c r="D368">
        <v>2025</v>
      </c>
      <c r="E368">
        <v>312</v>
      </c>
      <c r="F368" s="30" t="s">
        <v>285</v>
      </c>
      <c r="G368" s="30" t="s">
        <v>29</v>
      </c>
      <c r="H368" s="30" t="s">
        <v>30</v>
      </c>
      <c r="I368" s="2">
        <v>1522.66</v>
      </c>
      <c r="J368" s="2">
        <v>1522.66</v>
      </c>
      <c r="K368" s="2">
        <v>415.68619999999999</v>
      </c>
      <c r="L368" s="2">
        <v>121.81</v>
      </c>
      <c r="Q368" s="2">
        <v>2060.1561999999999</v>
      </c>
      <c r="R368" s="2">
        <v>412.16</v>
      </c>
      <c r="S368" s="2">
        <v>2559361.83</v>
      </c>
      <c r="T368" s="1">
        <v>8.0494916969204005E-4</v>
      </c>
    </row>
    <row r="369" spans="1:20" x14ac:dyDescent="0.3">
      <c r="A369" s="30" t="s">
        <v>118</v>
      </c>
      <c r="B369" s="30" t="s">
        <v>119</v>
      </c>
      <c r="C369" s="30" t="s">
        <v>273</v>
      </c>
      <c r="D369">
        <v>2025</v>
      </c>
      <c r="E369">
        <v>239</v>
      </c>
      <c r="F369" s="30" t="s">
        <v>155</v>
      </c>
      <c r="G369" s="30" t="s">
        <v>26</v>
      </c>
      <c r="H369" s="30" t="s">
        <v>60</v>
      </c>
      <c r="I369" s="2">
        <v>3454.14</v>
      </c>
      <c r="J369" s="2">
        <v>2489.89</v>
      </c>
      <c r="K369" s="2">
        <v>679.74</v>
      </c>
      <c r="L369" s="2">
        <v>199.19</v>
      </c>
      <c r="Q369" s="2">
        <v>4333.07</v>
      </c>
      <c r="R369" s="2">
        <v>0</v>
      </c>
      <c r="S369" s="2">
        <v>2559361.83</v>
      </c>
      <c r="T369" s="1">
        <v>1.6930275036570344E-3</v>
      </c>
    </row>
    <row r="370" spans="1:20" x14ac:dyDescent="0.3">
      <c r="A370" s="30" t="s">
        <v>118</v>
      </c>
      <c r="B370" s="30" t="s">
        <v>119</v>
      </c>
      <c r="C370" s="30" t="s">
        <v>273</v>
      </c>
      <c r="D370">
        <v>2025</v>
      </c>
      <c r="E370">
        <v>51</v>
      </c>
      <c r="F370" s="30" t="s">
        <v>156</v>
      </c>
      <c r="G370" s="30" t="s">
        <v>76</v>
      </c>
      <c r="H370" s="30" t="s">
        <v>76</v>
      </c>
      <c r="I370" s="2">
        <v>8157.41</v>
      </c>
      <c r="J370" s="2">
        <v>8157.41</v>
      </c>
      <c r="K370" s="2">
        <v>1631.482</v>
      </c>
      <c r="L370" s="2">
        <v>0</v>
      </c>
      <c r="Q370" s="2">
        <v>9788.8919999999998</v>
      </c>
      <c r="R370" s="2">
        <v>0</v>
      </c>
      <c r="S370" s="2">
        <v>2559361.83</v>
      </c>
      <c r="T370" s="1">
        <v>3.8247393882560169E-3</v>
      </c>
    </row>
    <row r="371" spans="1:20" x14ac:dyDescent="0.3">
      <c r="A371" s="30" t="s">
        <v>118</v>
      </c>
      <c r="B371" s="30" t="s">
        <v>119</v>
      </c>
      <c r="C371" s="30" t="s">
        <v>273</v>
      </c>
      <c r="D371">
        <v>2025</v>
      </c>
      <c r="E371">
        <v>176</v>
      </c>
      <c r="F371" s="30" t="s">
        <v>157</v>
      </c>
      <c r="G371" s="30" t="s">
        <v>29</v>
      </c>
      <c r="H371" s="30" t="s">
        <v>111</v>
      </c>
      <c r="I371" s="2">
        <v>2630.35</v>
      </c>
      <c r="J371" s="2">
        <v>2624.34</v>
      </c>
      <c r="K371" s="2">
        <v>716.44479999999999</v>
      </c>
      <c r="L371" s="2">
        <v>209.94</v>
      </c>
      <c r="M371" s="2">
        <v>600</v>
      </c>
      <c r="Q371" s="2">
        <v>4156.7348000000002</v>
      </c>
      <c r="R371" s="2">
        <v>309.05</v>
      </c>
      <c r="S371" s="2">
        <v>2559361.83</v>
      </c>
      <c r="T371" s="1">
        <v>1.6241294104163456E-3</v>
      </c>
    </row>
    <row r="372" spans="1:20" x14ac:dyDescent="0.3">
      <c r="A372" s="30" t="s">
        <v>118</v>
      </c>
      <c r="B372" s="30" t="s">
        <v>119</v>
      </c>
      <c r="C372" s="30" t="s">
        <v>273</v>
      </c>
      <c r="D372">
        <v>2025</v>
      </c>
      <c r="E372">
        <v>130</v>
      </c>
      <c r="F372" s="30" t="s">
        <v>158</v>
      </c>
      <c r="G372" s="30" t="s">
        <v>89</v>
      </c>
      <c r="H372" s="30" t="s">
        <v>34</v>
      </c>
      <c r="I372" s="2">
        <v>2258.16</v>
      </c>
      <c r="J372" s="2">
        <v>1874.6</v>
      </c>
      <c r="K372" s="2">
        <v>511.76580000000001</v>
      </c>
      <c r="L372" s="2">
        <v>149.96</v>
      </c>
      <c r="M372" s="2">
        <v>322</v>
      </c>
      <c r="Q372" s="2">
        <v>3241.8858</v>
      </c>
      <c r="R372" s="2">
        <v>179.95</v>
      </c>
      <c r="S372" s="2">
        <v>2559361.83</v>
      </c>
      <c r="T372" s="1">
        <v>1.2666774044996993E-3</v>
      </c>
    </row>
    <row r="373" spans="1:20" x14ac:dyDescent="0.3">
      <c r="A373" s="30" t="s">
        <v>118</v>
      </c>
      <c r="B373" s="30" t="s">
        <v>119</v>
      </c>
      <c r="C373" s="30" t="s">
        <v>273</v>
      </c>
      <c r="D373">
        <v>2025</v>
      </c>
      <c r="E373">
        <v>309</v>
      </c>
      <c r="F373" s="30" t="s">
        <v>286</v>
      </c>
      <c r="G373" s="30" t="s">
        <v>33</v>
      </c>
      <c r="H373" s="30" t="s">
        <v>50</v>
      </c>
      <c r="I373" s="2">
        <v>1366.03</v>
      </c>
      <c r="J373" s="2">
        <v>395</v>
      </c>
      <c r="K373" s="2">
        <v>107.83499999999999</v>
      </c>
      <c r="L373" s="2">
        <v>31.6</v>
      </c>
      <c r="Q373" s="2">
        <v>1505.4649999999999</v>
      </c>
      <c r="R373" s="2">
        <v>0</v>
      </c>
      <c r="S373" s="2">
        <v>2559361.83</v>
      </c>
      <c r="T373" s="1">
        <v>5.8821889986536207E-4</v>
      </c>
    </row>
    <row r="374" spans="1:20" x14ac:dyDescent="0.3">
      <c r="A374" s="30" t="s">
        <v>118</v>
      </c>
      <c r="B374" s="30" t="s">
        <v>119</v>
      </c>
      <c r="C374" s="30" t="s">
        <v>273</v>
      </c>
      <c r="D374">
        <v>2025</v>
      </c>
      <c r="E374">
        <v>277</v>
      </c>
      <c r="F374" s="30" t="s">
        <v>159</v>
      </c>
      <c r="G374" s="30" t="s">
        <v>33</v>
      </c>
      <c r="H374" s="30" t="s">
        <v>34</v>
      </c>
      <c r="I374" s="2">
        <v>2310.21</v>
      </c>
      <c r="J374" s="2">
        <v>2310.21</v>
      </c>
      <c r="K374" s="2">
        <v>630.68730000000005</v>
      </c>
      <c r="L374" s="2">
        <v>184.81</v>
      </c>
      <c r="M374" s="2">
        <v>336</v>
      </c>
      <c r="Q374" s="2">
        <v>3461.7073</v>
      </c>
      <c r="R374" s="2">
        <v>232</v>
      </c>
      <c r="S374" s="2">
        <v>2559361.83</v>
      </c>
      <c r="T374" s="1">
        <v>1.3525666005576086E-3</v>
      </c>
    </row>
    <row r="375" spans="1:20" x14ac:dyDescent="0.3">
      <c r="A375" s="30" t="s">
        <v>118</v>
      </c>
      <c r="B375" s="30" t="s">
        <v>119</v>
      </c>
      <c r="C375" s="30" t="s">
        <v>273</v>
      </c>
      <c r="D375">
        <v>2025</v>
      </c>
      <c r="E375">
        <v>298</v>
      </c>
      <c r="F375" s="30" t="s">
        <v>162</v>
      </c>
      <c r="G375" s="30" t="s">
        <v>89</v>
      </c>
      <c r="H375" s="30" t="s">
        <v>50</v>
      </c>
      <c r="I375" s="2">
        <v>2257.11</v>
      </c>
      <c r="J375" s="2">
        <v>2056.7399999999998</v>
      </c>
      <c r="K375" s="2">
        <v>561.49</v>
      </c>
      <c r="L375" s="2">
        <v>164.53</v>
      </c>
      <c r="M375" s="2">
        <v>322</v>
      </c>
      <c r="N375" s="2">
        <v>80</v>
      </c>
      <c r="Q375" s="2">
        <v>3385.13</v>
      </c>
      <c r="R375" s="2">
        <v>282.11</v>
      </c>
      <c r="S375" s="2">
        <v>2559361.83</v>
      </c>
      <c r="T375" s="1">
        <v>1.3226461301097078E-3</v>
      </c>
    </row>
    <row r="376" spans="1:20" x14ac:dyDescent="0.3">
      <c r="A376" s="30" t="s">
        <v>118</v>
      </c>
      <c r="B376" s="30" t="s">
        <v>119</v>
      </c>
      <c r="C376" s="30" t="s">
        <v>273</v>
      </c>
      <c r="D376">
        <v>2025</v>
      </c>
      <c r="E376">
        <v>94</v>
      </c>
      <c r="F376" s="30" t="s">
        <v>163</v>
      </c>
      <c r="G376" s="30" t="s">
        <v>39</v>
      </c>
      <c r="H376" s="30" t="s">
        <v>57</v>
      </c>
      <c r="I376" s="2">
        <v>3020.69</v>
      </c>
      <c r="J376" s="2">
        <v>2979.02</v>
      </c>
      <c r="K376" s="2">
        <v>813.27250000000004</v>
      </c>
      <c r="L376" s="2">
        <v>238.32</v>
      </c>
      <c r="M376" s="2">
        <v>126</v>
      </c>
      <c r="Q376" s="2">
        <v>4198.2825000000003</v>
      </c>
      <c r="R376" s="2">
        <v>4.17</v>
      </c>
      <c r="S376" s="2">
        <v>2559361.83</v>
      </c>
      <c r="T376" s="1">
        <v>1.6403630040852802E-3</v>
      </c>
    </row>
    <row r="377" spans="1:20" x14ac:dyDescent="0.3">
      <c r="A377" s="30" t="s">
        <v>118</v>
      </c>
      <c r="B377" s="30" t="s">
        <v>119</v>
      </c>
      <c r="C377" s="30" t="s">
        <v>273</v>
      </c>
      <c r="D377">
        <v>2025</v>
      </c>
      <c r="E377">
        <v>55</v>
      </c>
      <c r="F377" s="30" t="s">
        <v>164</v>
      </c>
      <c r="G377" s="30" t="s">
        <v>26</v>
      </c>
      <c r="H377" s="30" t="s">
        <v>37</v>
      </c>
      <c r="I377" s="2">
        <v>2894.07</v>
      </c>
      <c r="J377" s="2">
        <v>2894.07</v>
      </c>
      <c r="K377" s="2">
        <v>790.08109999999999</v>
      </c>
      <c r="L377" s="2">
        <v>231.52</v>
      </c>
      <c r="M377" s="2">
        <v>536</v>
      </c>
      <c r="N377" s="2">
        <v>80</v>
      </c>
      <c r="P377" s="2">
        <v>306.8</v>
      </c>
      <c r="Q377" s="2">
        <v>4838.4710999999998</v>
      </c>
      <c r="R377" s="2">
        <v>532.30999999999995</v>
      </c>
      <c r="S377" s="2">
        <v>2559361.83</v>
      </c>
      <c r="T377" s="1">
        <v>1.890499050694993E-3</v>
      </c>
    </row>
    <row r="378" spans="1:20" x14ac:dyDescent="0.3">
      <c r="A378" s="30" t="s">
        <v>118</v>
      </c>
      <c r="B378" s="30" t="s">
        <v>119</v>
      </c>
      <c r="C378" s="30" t="s">
        <v>273</v>
      </c>
      <c r="D378">
        <v>2025</v>
      </c>
      <c r="E378">
        <v>314</v>
      </c>
      <c r="F378" s="30" t="s">
        <v>287</v>
      </c>
      <c r="G378" s="30" t="s">
        <v>125</v>
      </c>
      <c r="H378" s="30" t="s">
        <v>126</v>
      </c>
      <c r="I378" s="2">
        <v>535.21</v>
      </c>
      <c r="J378" s="2">
        <v>535.21</v>
      </c>
      <c r="K378" s="2">
        <v>146.1123</v>
      </c>
      <c r="L378" s="2">
        <v>42.81</v>
      </c>
      <c r="Q378" s="2">
        <v>724.13229999999999</v>
      </c>
      <c r="R378" s="2">
        <v>8.5399999999999991</v>
      </c>
      <c r="S378" s="2">
        <v>2559361.83</v>
      </c>
      <c r="T378" s="1">
        <v>2.8293472283283996E-4</v>
      </c>
    </row>
    <row r="379" spans="1:20" x14ac:dyDescent="0.3">
      <c r="A379" s="30" t="s">
        <v>118</v>
      </c>
      <c r="B379" s="30" t="s">
        <v>119</v>
      </c>
      <c r="C379" s="30" t="s">
        <v>273</v>
      </c>
      <c r="D379">
        <v>2025</v>
      </c>
      <c r="E379">
        <v>246</v>
      </c>
      <c r="F379" s="30" t="s">
        <v>165</v>
      </c>
      <c r="G379" s="30" t="s">
        <v>29</v>
      </c>
      <c r="H379" s="30" t="s">
        <v>30</v>
      </c>
      <c r="I379" s="2">
        <v>2629.34</v>
      </c>
      <c r="J379" s="2">
        <v>2617.0700000000002</v>
      </c>
      <c r="K379" s="2">
        <v>714.46010000000001</v>
      </c>
      <c r="L379" s="2">
        <v>209.36</v>
      </c>
      <c r="M379" s="2">
        <v>290</v>
      </c>
      <c r="O379" s="2">
        <v>122.84</v>
      </c>
      <c r="Q379" s="2">
        <v>3966.0001000000002</v>
      </c>
      <c r="R379" s="2">
        <v>408.34</v>
      </c>
      <c r="S379" s="2">
        <v>2559361.83</v>
      </c>
      <c r="T379" s="1">
        <v>1.5496050865148677E-3</v>
      </c>
    </row>
    <row r="380" spans="1:20" x14ac:dyDescent="0.3">
      <c r="A380" s="30" t="s">
        <v>118</v>
      </c>
      <c r="B380" s="30" t="s">
        <v>119</v>
      </c>
      <c r="C380" s="30" t="s">
        <v>273</v>
      </c>
      <c r="D380">
        <v>2025</v>
      </c>
      <c r="E380">
        <v>281</v>
      </c>
      <c r="F380" s="30" t="s">
        <v>166</v>
      </c>
      <c r="G380" s="30" t="s">
        <v>33</v>
      </c>
      <c r="H380" s="30" t="s">
        <v>94</v>
      </c>
      <c r="I380" s="2">
        <v>2423.92</v>
      </c>
      <c r="J380" s="2">
        <v>2382.7199999999998</v>
      </c>
      <c r="K380" s="2">
        <v>650.48260000000005</v>
      </c>
      <c r="L380" s="2">
        <v>190.61</v>
      </c>
      <c r="M380" s="2">
        <v>322</v>
      </c>
      <c r="Q380" s="2">
        <v>3587.0126</v>
      </c>
      <c r="R380" s="2">
        <v>185.68</v>
      </c>
      <c r="S380" s="2">
        <v>2559361.83</v>
      </c>
      <c r="T380" s="1">
        <v>1.401526160918013E-3</v>
      </c>
    </row>
    <row r="381" spans="1:20" x14ac:dyDescent="0.3">
      <c r="A381" s="30" t="s">
        <v>118</v>
      </c>
      <c r="B381" s="30" t="s">
        <v>119</v>
      </c>
      <c r="C381" s="30" t="s">
        <v>273</v>
      </c>
      <c r="D381">
        <v>2025</v>
      </c>
      <c r="E381">
        <v>307</v>
      </c>
      <c r="F381" s="30" t="s">
        <v>270</v>
      </c>
      <c r="G381" s="30" t="s">
        <v>33</v>
      </c>
      <c r="H381" s="30" t="s">
        <v>50</v>
      </c>
      <c r="I381" s="2">
        <v>2173.3000000000002</v>
      </c>
      <c r="J381" s="2">
        <v>2171.5</v>
      </c>
      <c r="K381" s="2">
        <v>592.81949999999995</v>
      </c>
      <c r="L381" s="2">
        <v>173.72</v>
      </c>
      <c r="M381" s="2">
        <v>336</v>
      </c>
      <c r="N381" s="2">
        <v>80</v>
      </c>
      <c r="Q381" s="2">
        <v>3355.8395</v>
      </c>
      <c r="R381" s="2">
        <v>198.3</v>
      </c>
      <c r="S381" s="2">
        <v>2559361.83</v>
      </c>
      <c r="T381" s="1">
        <v>1.3112016678001328E-3</v>
      </c>
    </row>
    <row r="382" spans="1:20" x14ac:dyDescent="0.3">
      <c r="A382" s="30" t="s">
        <v>118</v>
      </c>
      <c r="B382" s="30" t="s">
        <v>119</v>
      </c>
      <c r="C382" s="30" t="s">
        <v>273</v>
      </c>
      <c r="D382">
        <v>2025</v>
      </c>
      <c r="E382">
        <v>44</v>
      </c>
      <c r="F382" s="30" t="s">
        <v>167</v>
      </c>
      <c r="G382" s="30" t="s">
        <v>26</v>
      </c>
      <c r="H382" s="30" t="s">
        <v>55</v>
      </c>
      <c r="I382" s="2">
        <v>2465.63</v>
      </c>
      <c r="J382" s="2">
        <v>2454.64</v>
      </c>
      <c r="K382" s="2">
        <v>670.11670000000004</v>
      </c>
      <c r="L382" s="2">
        <v>196.37</v>
      </c>
      <c r="M382" s="2">
        <v>336</v>
      </c>
      <c r="Q382" s="2">
        <v>3668.1167</v>
      </c>
      <c r="R382" s="2">
        <v>227.39</v>
      </c>
      <c r="S382" s="2">
        <v>2559361.83</v>
      </c>
      <c r="T382" s="1">
        <v>1.4332153730682153E-3</v>
      </c>
    </row>
    <row r="383" spans="1:20" x14ac:dyDescent="0.3">
      <c r="A383" s="30" t="s">
        <v>118</v>
      </c>
      <c r="B383" s="30" t="s">
        <v>119</v>
      </c>
      <c r="C383" s="30" t="s">
        <v>273</v>
      </c>
      <c r="D383">
        <v>2025</v>
      </c>
      <c r="E383">
        <v>196</v>
      </c>
      <c r="F383" s="30" t="s">
        <v>168</v>
      </c>
      <c r="G383" s="30" t="s">
        <v>26</v>
      </c>
      <c r="H383" s="30" t="s">
        <v>55</v>
      </c>
      <c r="I383" s="2">
        <v>2556.83</v>
      </c>
      <c r="J383" s="2">
        <v>2556.83</v>
      </c>
      <c r="K383" s="2">
        <v>698.01459999999997</v>
      </c>
      <c r="L383" s="2">
        <v>204.54</v>
      </c>
      <c r="M383" s="2">
        <v>350</v>
      </c>
      <c r="N383" s="2">
        <v>80</v>
      </c>
      <c r="O383" s="2">
        <v>122.84</v>
      </c>
      <c r="Q383" s="2">
        <v>4012.2246</v>
      </c>
      <c r="R383" s="2">
        <v>318.58999999999997</v>
      </c>
      <c r="S383" s="2">
        <v>2559361.83</v>
      </c>
      <c r="T383" s="1">
        <v>1.5676660263390736E-3</v>
      </c>
    </row>
    <row r="384" spans="1:20" x14ac:dyDescent="0.3">
      <c r="A384" s="30" t="s">
        <v>118</v>
      </c>
      <c r="B384" s="30" t="s">
        <v>119</v>
      </c>
      <c r="C384" s="30" t="s">
        <v>273</v>
      </c>
      <c r="D384">
        <v>2025</v>
      </c>
      <c r="E384">
        <v>299</v>
      </c>
      <c r="F384" s="30" t="s">
        <v>169</v>
      </c>
      <c r="G384" s="30" t="s">
        <v>29</v>
      </c>
      <c r="H384" s="30" t="s">
        <v>30</v>
      </c>
      <c r="I384" s="2">
        <v>2478.1799999999998</v>
      </c>
      <c r="J384" s="2">
        <v>2463.88</v>
      </c>
      <c r="K384" s="2">
        <v>672.63919999999996</v>
      </c>
      <c r="L384" s="2">
        <v>197.11</v>
      </c>
      <c r="M384" s="2">
        <v>364</v>
      </c>
      <c r="P384" s="2">
        <v>286.8</v>
      </c>
      <c r="Q384" s="2">
        <v>3998.7292000000002</v>
      </c>
      <c r="R384" s="2">
        <v>257.18</v>
      </c>
      <c r="S384" s="2">
        <v>2559361.83</v>
      </c>
      <c r="T384" s="1">
        <v>1.562393090780759E-3</v>
      </c>
    </row>
    <row r="385" spans="1:20" x14ac:dyDescent="0.3">
      <c r="A385" s="30" t="s">
        <v>118</v>
      </c>
      <c r="B385" s="30" t="s">
        <v>119</v>
      </c>
      <c r="C385" s="30" t="s">
        <v>273</v>
      </c>
      <c r="D385">
        <v>2025</v>
      </c>
      <c r="E385">
        <v>148</v>
      </c>
      <c r="F385" s="30" t="s">
        <v>170</v>
      </c>
      <c r="G385" s="30" t="s">
        <v>125</v>
      </c>
      <c r="H385" s="30" t="s">
        <v>171</v>
      </c>
      <c r="I385" s="2">
        <v>2491.1799999999998</v>
      </c>
      <c r="J385" s="2">
        <v>1428.32</v>
      </c>
      <c r="K385" s="2">
        <v>389.9314</v>
      </c>
      <c r="L385" s="2">
        <v>199.29</v>
      </c>
      <c r="Q385" s="2">
        <v>3080.4014000000002</v>
      </c>
      <c r="R385" s="2">
        <v>0</v>
      </c>
      <c r="S385" s="2">
        <v>2559361.83</v>
      </c>
      <c r="T385" s="1">
        <v>1.2035818163311438E-3</v>
      </c>
    </row>
    <row r="386" spans="1:20" x14ac:dyDescent="0.3">
      <c r="A386" s="30" t="s">
        <v>118</v>
      </c>
      <c r="B386" s="30" t="s">
        <v>119</v>
      </c>
      <c r="C386" s="30" t="s">
        <v>273</v>
      </c>
      <c r="D386">
        <v>2025</v>
      </c>
      <c r="E386">
        <v>311</v>
      </c>
      <c r="F386" s="30" t="s">
        <v>288</v>
      </c>
      <c r="G386" s="30" t="s">
        <v>33</v>
      </c>
      <c r="H386" s="30" t="s">
        <v>50</v>
      </c>
      <c r="I386" s="2">
        <v>1251.56</v>
      </c>
      <c r="J386" s="2">
        <v>1251.56</v>
      </c>
      <c r="K386" s="2">
        <v>341.67590000000001</v>
      </c>
      <c r="L386" s="2">
        <v>100.12</v>
      </c>
      <c r="Q386" s="2">
        <v>1693.3559</v>
      </c>
      <c r="R386" s="2">
        <v>198.23</v>
      </c>
      <c r="S386" s="2">
        <v>2559361.83</v>
      </c>
      <c r="T386" s="1">
        <v>6.6163207568036605E-4</v>
      </c>
    </row>
    <row r="387" spans="1:20" x14ac:dyDescent="0.3">
      <c r="A387" s="30" t="s">
        <v>118</v>
      </c>
      <c r="B387" s="30" t="s">
        <v>119</v>
      </c>
      <c r="C387" s="30" t="s">
        <v>273</v>
      </c>
      <c r="D387">
        <v>2025</v>
      </c>
      <c r="E387">
        <v>2008</v>
      </c>
      <c r="F387" s="30" t="s">
        <v>173</v>
      </c>
      <c r="G387" s="30" t="s">
        <v>33</v>
      </c>
      <c r="H387" s="30" t="s">
        <v>64</v>
      </c>
      <c r="I387" s="2">
        <v>903.4</v>
      </c>
      <c r="K387" s="2">
        <v>0</v>
      </c>
      <c r="P387" s="2">
        <v>306.8</v>
      </c>
      <c r="Q387" s="2">
        <v>1210.2</v>
      </c>
      <c r="S387" s="2">
        <v>2559361.83</v>
      </c>
      <c r="T387" s="1">
        <v>4.7285225004703614E-4</v>
      </c>
    </row>
    <row r="388" spans="1:20" x14ac:dyDescent="0.3">
      <c r="A388" s="30" t="s">
        <v>118</v>
      </c>
      <c r="B388" s="30" t="s">
        <v>119</v>
      </c>
      <c r="C388" s="30" t="s">
        <v>273</v>
      </c>
      <c r="D388">
        <v>2025</v>
      </c>
      <c r="E388">
        <v>2009</v>
      </c>
      <c r="F388" s="30" t="s">
        <v>174</v>
      </c>
      <c r="G388" s="30" t="s">
        <v>33</v>
      </c>
      <c r="H388" s="30" t="s">
        <v>64</v>
      </c>
      <c r="I388" s="2">
        <v>936.54</v>
      </c>
      <c r="K388" s="2">
        <v>0</v>
      </c>
      <c r="N388" s="2">
        <v>80</v>
      </c>
      <c r="Q388" s="2">
        <v>1016.54</v>
      </c>
      <c r="S388" s="2">
        <v>2559361.83</v>
      </c>
      <c r="T388" s="1">
        <v>3.971849498122741E-4</v>
      </c>
    </row>
    <row r="389" spans="1:20" x14ac:dyDescent="0.3">
      <c r="A389" s="30" t="s">
        <v>118</v>
      </c>
      <c r="B389" s="30" t="s">
        <v>119</v>
      </c>
      <c r="C389" s="30" t="s">
        <v>273</v>
      </c>
      <c r="D389">
        <v>2025</v>
      </c>
      <c r="E389">
        <v>300</v>
      </c>
      <c r="F389" s="30" t="s">
        <v>175</v>
      </c>
      <c r="G389" s="30" t="s">
        <v>39</v>
      </c>
      <c r="H389" s="30" t="s">
        <v>57</v>
      </c>
      <c r="I389" s="2">
        <v>2758.61</v>
      </c>
      <c r="J389" s="2">
        <v>2713.19</v>
      </c>
      <c r="K389" s="2">
        <v>740.70090000000005</v>
      </c>
      <c r="L389" s="2">
        <v>217.05</v>
      </c>
      <c r="M389" s="2">
        <v>336</v>
      </c>
      <c r="Q389" s="2">
        <v>4052.3609000000001</v>
      </c>
      <c r="R389" s="2">
        <v>333.11</v>
      </c>
      <c r="S389" s="2">
        <v>2559361.83</v>
      </c>
      <c r="T389" s="1">
        <v>1.5833481700397167E-3</v>
      </c>
    </row>
    <row r="390" spans="1:20" x14ac:dyDescent="0.3">
      <c r="A390" s="30" t="s">
        <v>118</v>
      </c>
      <c r="B390" s="30" t="s">
        <v>119</v>
      </c>
      <c r="C390" s="30" t="s">
        <v>273</v>
      </c>
      <c r="D390">
        <v>2025</v>
      </c>
      <c r="E390">
        <v>302</v>
      </c>
      <c r="F390" s="30" t="s">
        <v>177</v>
      </c>
      <c r="G390" s="30" t="s">
        <v>33</v>
      </c>
      <c r="H390" s="30" t="s">
        <v>50</v>
      </c>
      <c r="I390" s="2">
        <v>2398.9499999999998</v>
      </c>
      <c r="J390" s="2">
        <v>2398.9499999999998</v>
      </c>
      <c r="K390" s="2">
        <v>654.91340000000002</v>
      </c>
      <c r="L390" s="2">
        <v>191.91</v>
      </c>
      <c r="M390" s="2">
        <v>336</v>
      </c>
      <c r="N390" s="2">
        <v>80</v>
      </c>
      <c r="Q390" s="2">
        <v>3661.7732999999998</v>
      </c>
      <c r="R390" s="2">
        <v>423.95</v>
      </c>
      <c r="S390" s="2">
        <v>2559361.83</v>
      </c>
      <c r="T390" s="1">
        <v>1.4307368763095134E-3</v>
      </c>
    </row>
    <row r="391" spans="1:20" x14ac:dyDescent="0.3">
      <c r="A391" s="30" t="s">
        <v>118</v>
      </c>
      <c r="B391" s="30" t="s">
        <v>119</v>
      </c>
      <c r="C391" s="30" t="s">
        <v>273</v>
      </c>
      <c r="D391">
        <v>2025</v>
      </c>
      <c r="E391">
        <v>241</v>
      </c>
      <c r="F391" s="30" t="s">
        <v>148</v>
      </c>
      <c r="G391" s="30" t="s">
        <v>29</v>
      </c>
      <c r="H391" s="30" t="s">
        <v>30</v>
      </c>
      <c r="I391" s="2">
        <v>7328.7</v>
      </c>
      <c r="J391" s="2">
        <v>3219.21</v>
      </c>
      <c r="K391" s="2">
        <v>878.84429999999998</v>
      </c>
      <c r="L391" s="2">
        <v>396.23</v>
      </c>
      <c r="M391" s="2">
        <v>300</v>
      </c>
      <c r="Q391" s="2">
        <v>8903.7742999999991</v>
      </c>
      <c r="S391" s="2">
        <v>2559361.83</v>
      </c>
      <c r="T391" s="1">
        <v>3.4789040868051079E-3</v>
      </c>
    </row>
    <row r="392" spans="1:20" x14ac:dyDescent="0.3">
      <c r="A392" s="30" t="s">
        <v>118</v>
      </c>
      <c r="B392" s="30" t="s">
        <v>119</v>
      </c>
      <c r="C392" s="30" t="s">
        <v>273</v>
      </c>
      <c r="D392">
        <v>2025</v>
      </c>
      <c r="E392">
        <v>79</v>
      </c>
      <c r="F392" s="30" t="s">
        <v>161</v>
      </c>
      <c r="G392" s="30" t="s">
        <v>33</v>
      </c>
      <c r="H392" s="30" t="s">
        <v>50</v>
      </c>
      <c r="I392" s="2">
        <v>8627.15</v>
      </c>
      <c r="J392" s="2">
        <v>2745.25</v>
      </c>
      <c r="K392" s="2">
        <v>749.45330000000001</v>
      </c>
      <c r="L392" s="2">
        <v>439.6</v>
      </c>
      <c r="M392" s="2">
        <v>252</v>
      </c>
      <c r="N392" s="2">
        <v>80</v>
      </c>
      <c r="Q392" s="2">
        <v>10148.2032</v>
      </c>
      <c r="S392" s="2">
        <v>2559361.83</v>
      </c>
      <c r="T392" s="1">
        <v>3.965130342668273E-3</v>
      </c>
    </row>
    <row r="393" spans="1:20" x14ac:dyDescent="0.3">
      <c r="A393" s="30" t="s">
        <v>179</v>
      </c>
      <c r="B393" s="30" t="s">
        <v>72</v>
      </c>
      <c r="C393" s="30" t="s">
        <v>21</v>
      </c>
      <c r="D393">
        <v>2025</v>
      </c>
      <c r="E393">
        <v>90</v>
      </c>
      <c r="F393" s="30" t="s">
        <v>180</v>
      </c>
      <c r="G393" s="30" t="s">
        <v>33</v>
      </c>
      <c r="H393" s="30" t="s">
        <v>181</v>
      </c>
      <c r="I393" s="2">
        <v>2553.17</v>
      </c>
      <c r="J393" s="2">
        <v>2553.17</v>
      </c>
      <c r="K393" s="2">
        <v>0</v>
      </c>
      <c r="L393" s="2">
        <v>204.25</v>
      </c>
      <c r="M393" s="2">
        <v>700</v>
      </c>
      <c r="N393" s="2">
        <v>80</v>
      </c>
      <c r="O393" s="2">
        <v>0</v>
      </c>
      <c r="P393" s="2">
        <v>0</v>
      </c>
      <c r="Q393" s="2">
        <v>3537.42</v>
      </c>
      <c r="R393" s="2">
        <v>353.17</v>
      </c>
      <c r="S393" s="2">
        <v>1657043.9</v>
      </c>
      <c r="T393" s="1">
        <v>2.1347774793413743E-3</v>
      </c>
    </row>
    <row r="394" spans="1:20" x14ac:dyDescent="0.3">
      <c r="A394" s="30" t="s">
        <v>179</v>
      </c>
      <c r="B394" s="30" t="s">
        <v>119</v>
      </c>
      <c r="C394" s="30" t="s">
        <v>21</v>
      </c>
      <c r="D394">
        <v>2025</v>
      </c>
      <c r="E394">
        <v>75</v>
      </c>
      <c r="F394" s="30" t="s">
        <v>182</v>
      </c>
      <c r="G394" s="30" t="s">
        <v>39</v>
      </c>
      <c r="H394" s="30" t="s">
        <v>57</v>
      </c>
      <c r="I394" s="2">
        <v>2508.23</v>
      </c>
      <c r="J394" s="2">
        <v>2480.4499999999998</v>
      </c>
      <c r="K394" s="2">
        <v>0</v>
      </c>
      <c r="L394" s="2">
        <v>198.43</v>
      </c>
      <c r="M394" s="2">
        <v>308</v>
      </c>
      <c r="N394" s="2">
        <v>0</v>
      </c>
      <c r="O394" s="2">
        <v>0</v>
      </c>
      <c r="P394" s="2">
        <v>0</v>
      </c>
      <c r="Q394" s="2">
        <v>3014.66</v>
      </c>
      <c r="R394" s="2">
        <v>82.73</v>
      </c>
      <c r="S394" s="2">
        <v>2348338.65</v>
      </c>
      <c r="T394" s="1">
        <v>1.2837415932323048E-3</v>
      </c>
    </row>
    <row r="395" spans="1:20" x14ac:dyDescent="0.3">
      <c r="A395" s="30" t="s">
        <v>179</v>
      </c>
      <c r="B395" s="30" t="s">
        <v>119</v>
      </c>
      <c r="C395" s="30" t="s">
        <v>21</v>
      </c>
      <c r="D395">
        <v>2025</v>
      </c>
      <c r="E395">
        <v>63</v>
      </c>
      <c r="F395" s="30" t="s">
        <v>183</v>
      </c>
      <c r="G395" s="30" t="s">
        <v>33</v>
      </c>
      <c r="H395" s="30" t="s">
        <v>37</v>
      </c>
      <c r="I395" s="2">
        <v>3082.82</v>
      </c>
      <c r="J395" s="2">
        <v>3082.82</v>
      </c>
      <c r="K395" s="2">
        <v>0</v>
      </c>
      <c r="L395" s="2">
        <v>246.62</v>
      </c>
      <c r="M395" s="2">
        <v>706</v>
      </c>
      <c r="N395" s="2">
        <v>80</v>
      </c>
      <c r="O395" s="2">
        <v>122.84</v>
      </c>
      <c r="P395" s="2">
        <v>0</v>
      </c>
      <c r="Q395" s="2">
        <v>4238.28</v>
      </c>
      <c r="R395" s="2">
        <v>395.2</v>
      </c>
      <c r="S395" s="2">
        <v>2348338.65</v>
      </c>
      <c r="T395" s="1">
        <v>1.8047993205749944E-3</v>
      </c>
    </row>
    <row r="396" spans="1:20" x14ac:dyDescent="0.3">
      <c r="A396" s="30" t="s">
        <v>179</v>
      </c>
      <c r="B396" s="30" t="s">
        <v>20</v>
      </c>
      <c r="C396" s="30" t="s">
        <v>21</v>
      </c>
      <c r="D396">
        <v>2025</v>
      </c>
      <c r="E396">
        <v>900000</v>
      </c>
      <c r="F396" s="30" t="s">
        <v>184</v>
      </c>
      <c r="G396" s="30" t="s">
        <v>76</v>
      </c>
      <c r="H396" s="30" t="s">
        <v>76</v>
      </c>
      <c r="I396" s="2">
        <v>2824</v>
      </c>
      <c r="J396" s="2">
        <v>2824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2824</v>
      </c>
      <c r="R396" s="2">
        <v>0</v>
      </c>
      <c r="S396" s="2">
        <v>1309803.51</v>
      </c>
      <c r="T396" s="1">
        <v>2.1560485816685582E-3</v>
      </c>
    </row>
    <row r="397" spans="1:20" x14ac:dyDescent="0.3">
      <c r="A397" s="30" t="s">
        <v>179</v>
      </c>
      <c r="B397" s="30" t="s">
        <v>119</v>
      </c>
      <c r="C397" s="30" t="s">
        <v>21</v>
      </c>
      <c r="D397">
        <v>2025</v>
      </c>
      <c r="E397">
        <v>88</v>
      </c>
      <c r="F397" s="30" t="s">
        <v>185</v>
      </c>
      <c r="G397" s="30" t="s">
        <v>23</v>
      </c>
      <c r="H397" s="30" t="s">
        <v>186</v>
      </c>
      <c r="I397" s="2">
        <v>2672.25</v>
      </c>
      <c r="J397" s="2">
        <v>2672.25</v>
      </c>
      <c r="K397" s="2">
        <v>0</v>
      </c>
      <c r="L397" s="2">
        <v>213.78</v>
      </c>
      <c r="M397" s="2">
        <v>1300</v>
      </c>
      <c r="N397" s="2">
        <v>80</v>
      </c>
      <c r="O397" s="2">
        <v>122.84</v>
      </c>
      <c r="P397" s="2">
        <v>0</v>
      </c>
      <c r="Q397" s="2">
        <v>4388.87</v>
      </c>
      <c r="R397" s="2">
        <v>172.25</v>
      </c>
      <c r="S397" s="2">
        <v>2348338.65</v>
      </c>
      <c r="T397" s="1">
        <v>1.8689255061232332E-3</v>
      </c>
    </row>
    <row r="398" spans="1:20" x14ac:dyDescent="0.3">
      <c r="A398" s="30" t="s">
        <v>179</v>
      </c>
      <c r="B398" s="30" t="s">
        <v>119</v>
      </c>
      <c r="C398" s="30" t="s">
        <v>21</v>
      </c>
      <c r="D398">
        <v>2025</v>
      </c>
      <c r="E398">
        <v>84</v>
      </c>
      <c r="F398" s="30" t="s">
        <v>187</v>
      </c>
      <c r="G398" s="30" t="s">
        <v>26</v>
      </c>
      <c r="H398" s="30" t="s">
        <v>188</v>
      </c>
      <c r="I398" s="2">
        <v>3853.33</v>
      </c>
      <c r="J398" s="2">
        <v>3853.33</v>
      </c>
      <c r="K398" s="2">
        <v>0</v>
      </c>
      <c r="L398" s="2">
        <v>308.26</v>
      </c>
      <c r="M398" s="2">
        <v>706</v>
      </c>
      <c r="N398" s="2">
        <v>80</v>
      </c>
      <c r="O398" s="2">
        <v>0</v>
      </c>
      <c r="P398" s="2">
        <v>0</v>
      </c>
      <c r="Q398" s="2">
        <v>4947.59</v>
      </c>
      <c r="R398" s="2">
        <v>1353.33</v>
      </c>
      <c r="S398" s="2">
        <v>2348338.65</v>
      </c>
      <c r="T398" s="1">
        <v>2.1068468979122752E-3</v>
      </c>
    </row>
    <row r="399" spans="1:20" x14ac:dyDescent="0.3">
      <c r="A399" s="30" t="s">
        <v>179</v>
      </c>
      <c r="B399" s="30" t="s">
        <v>20</v>
      </c>
      <c r="C399" s="30" t="s">
        <v>21</v>
      </c>
      <c r="D399">
        <v>2025</v>
      </c>
      <c r="E399">
        <v>51</v>
      </c>
      <c r="F399" s="30" t="s">
        <v>189</v>
      </c>
      <c r="G399" s="30" t="s">
        <v>33</v>
      </c>
      <c r="H399" s="30" t="s">
        <v>37</v>
      </c>
      <c r="I399" s="2">
        <v>3258.25</v>
      </c>
      <c r="J399" s="2">
        <v>3258.25</v>
      </c>
      <c r="K399" s="2">
        <v>0</v>
      </c>
      <c r="L399" s="2">
        <v>260.66000000000003</v>
      </c>
      <c r="M399" s="2">
        <v>806</v>
      </c>
      <c r="N399" s="2">
        <v>80</v>
      </c>
      <c r="O399" s="2">
        <v>0</v>
      </c>
      <c r="P399" s="2">
        <v>0</v>
      </c>
      <c r="Q399" s="2">
        <v>4404.91</v>
      </c>
      <c r="R399" s="2">
        <v>598.13</v>
      </c>
      <c r="S399" s="2">
        <v>1309803.51</v>
      </c>
      <c r="T399" s="1">
        <v>3.3630311465572419E-3</v>
      </c>
    </row>
    <row r="400" spans="1:20" x14ac:dyDescent="0.3">
      <c r="A400" s="30" t="s">
        <v>179</v>
      </c>
      <c r="B400" s="30" t="s">
        <v>20</v>
      </c>
      <c r="C400" s="30" t="s">
        <v>21</v>
      </c>
      <c r="D400">
        <v>2025</v>
      </c>
      <c r="E400">
        <v>94</v>
      </c>
      <c r="F400" s="30" t="s">
        <v>190</v>
      </c>
      <c r="G400" s="30" t="s">
        <v>33</v>
      </c>
      <c r="H400" s="30" t="s">
        <v>37</v>
      </c>
      <c r="I400" s="2">
        <v>3135.7</v>
      </c>
      <c r="J400" s="2">
        <v>3120.84</v>
      </c>
      <c r="K400" s="2">
        <v>0</v>
      </c>
      <c r="L400" s="2">
        <v>249.66</v>
      </c>
      <c r="M400" s="2">
        <v>500</v>
      </c>
      <c r="N400" s="2">
        <v>80</v>
      </c>
      <c r="O400" s="2">
        <v>0</v>
      </c>
      <c r="P400" s="2">
        <v>0</v>
      </c>
      <c r="Q400" s="2">
        <v>3965.36</v>
      </c>
      <c r="R400" s="2">
        <v>477.1</v>
      </c>
      <c r="S400" s="2">
        <v>1309803.51</v>
      </c>
      <c r="T400" s="1">
        <v>3.0274464602709759E-3</v>
      </c>
    </row>
    <row r="401" spans="1:20" x14ac:dyDescent="0.3">
      <c r="A401" s="30" t="s">
        <v>179</v>
      </c>
      <c r="B401" s="30" t="s">
        <v>119</v>
      </c>
      <c r="C401" s="30" t="s">
        <v>21</v>
      </c>
      <c r="D401">
        <v>2025</v>
      </c>
      <c r="E401">
        <v>24</v>
      </c>
      <c r="F401" s="30" t="s">
        <v>191</v>
      </c>
      <c r="G401" s="30" t="s">
        <v>89</v>
      </c>
      <c r="H401" s="30" t="s">
        <v>37</v>
      </c>
      <c r="I401" s="2">
        <v>3291.16</v>
      </c>
      <c r="J401" s="2">
        <v>3291.16</v>
      </c>
      <c r="K401" s="2">
        <v>0</v>
      </c>
      <c r="L401" s="2">
        <v>263.29000000000002</v>
      </c>
      <c r="M401" s="2">
        <v>706</v>
      </c>
      <c r="N401" s="2">
        <v>80</v>
      </c>
      <c r="O401" s="2">
        <v>0</v>
      </c>
      <c r="P401" s="2">
        <v>0</v>
      </c>
      <c r="Q401" s="2">
        <v>4340.45</v>
      </c>
      <c r="R401" s="2">
        <v>0</v>
      </c>
      <c r="S401" s="2">
        <v>2348338.65</v>
      </c>
      <c r="T401" s="1">
        <v>1.8483066741672885E-3</v>
      </c>
    </row>
    <row r="402" spans="1:20" x14ac:dyDescent="0.3">
      <c r="A402" s="30" t="s">
        <v>179</v>
      </c>
      <c r="B402" s="30" t="s">
        <v>20</v>
      </c>
      <c r="C402" s="30" t="s">
        <v>21</v>
      </c>
      <c r="D402">
        <v>2025</v>
      </c>
      <c r="E402">
        <v>92</v>
      </c>
      <c r="F402" s="30" t="s">
        <v>192</v>
      </c>
      <c r="G402" s="30" t="s">
        <v>29</v>
      </c>
      <c r="H402" s="30" t="s">
        <v>111</v>
      </c>
      <c r="I402" s="2">
        <v>3139.67</v>
      </c>
      <c r="J402" s="2">
        <v>3139.67</v>
      </c>
      <c r="K402" s="2">
        <v>0</v>
      </c>
      <c r="L402" s="2">
        <v>251.17</v>
      </c>
      <c r="M402" s="2">
        <v>400</v>
      </c>
      <c r="N402" s="2">
        <v>80</v>
      </c>
      <c r="O402" s="2">
        <v>0</v>
      </c>
      <c r="P402" s="2">
        <v>0</v>
      </c>
      <c r="Q402" s="2">
        <v>3870.84</v>
      </c>
      <c r="R402" s="2">
        <v>818.37</v>
      </c>
      <c r="S402" s="2">
        <v>1309803.51</v>
      </c>
      <c r="T402" s="1">
        <v>2.9552829645417581E-3</v>
      </c>
    </row>
    <row r="403" spans="1:20" x14ac:dyDescent="0.3">
      <c r="A403" s="30" t="s">
        <v>179</v>
      </c>
      <c r="B403" s="30" t="s">
        <v>119</v>
      </c>
      <c r="C403" s="30" t="s">
        <v>21</v>
      </c>
      <c r="D403">
        <v>2025</v>
      </c>
      <c r="E403">
        <v>86</v>
      </c>
      <c r="F403" s="30" t="s">
        <v>193</v>
      </c>
      <c r="G403" s="30" t="s">
        <v>29</v>
      </c>
      <c r="H403" s="30" t="s">
        <v>111</v>
      </c>
      <c r="I403" s="2">
        <v>2611.23</v>
      </c>
      <c r="J403" s="2">
        <v>2611.23</v>
      </c>
      <c r="K403" s="2">
        <v>0</v>
      </c>
      <c r="L403" s="2">
        <v>208.89</v>
      </c>
      <c r="M403" s="2">
        <v>400</v>
      </c>
      <c r="N403" s="2">
        <v>0</v>
      </c>
      <c r="O403" s="2">
        <v>0</v>
      </c>
      <c r="P403" s="2">
        <v>0</v>
      </c>
      <c r="Q403" s="2">
        <v>3220.12</v>
      </c>
      <c r="R403" s="2">
        <v>289.93</v>
      </c>
      <c r="S403" s="2">
        <v>2348338.65</v>
      </c>
      <c r="T403" s="1">
        <v>1.3712332333328499E-3</v>
      </c>
    </row>
    <row r="404" spans="1:20" x14ac:dyDescent="0.3">
      <c r="A404" s="30" t="s">
        <v>179</v>
      </c>
      <c r="B404" s="30" t="s">
        <v>72</v>
      </c>
      <c r="C404" s="30" t="s">
        <v>21</v>
      </c>
      <c r="D404">
        <v>2025</v>
      </c>
      <c r="E404">
        <v>1</v>
      </c>
      <c r="F404" s="30" t="s">
        <v>194</v>
      </c>
      <c r="G404" s="30" t="s">
        <v>23</v>
      </c>
      <c r="H404" s="30" t="s">
        <v>195</v>
      </c>
      <c r="I404" s="2">
        <v>6210.06</v>
      </c>
      <c r="J404" s="2">
        <v>6210.06</v>
      </c>
      <c r="K404" s="2">
        <v>0</v>
      </c>
      <c r="L404" s="2">
        <v>496.8</v>
      </c>
      <c r="M404" s="2">
        <v>1500</v>
      </c>
      <c r="N404" s="2">
        <v>80</v>
      </c>
      <c r="O404" s="2">
        <v>122.84</v>
      </c>
      <c r="P404" s="2">
        <v>0</v>
      </c>
      <c r="Q404" s="2">
        <v>8409.7000000000007</v>
      </c>
      <c r="R404" s="2">
        <v>0</v>
      </c>
      <c r="S404" s="2">
        <v>1657043.9</v>
      </c>
      <c r="T404" s="1">
        <v>5.0751220290542699E-3</v>
      </c>
    </row>
    <row r="405" spans="1:20" x14ac:dyDescent="0.3">
      <c r="A405" s="30" t="s">
        <v>179</v>
      </c>
      <c r="B405" s="30" t="s">
        <v>119</v>
      </c>
      <c r="C405" s="30" t="s">
        <v>21</v>
      </c>
      <c r="D405">
        <v>2025</v>
      </c>
      <c r="E405">
        <v>89</v>
      </c>
      <c r="F405" s="30" t="s">
        <v>196</v>
      </c>
      <c r="G405" s="30" t="s">
        <v>33</v>
      </c>
      <c r="H405" s="30" t="s">
        <v>197</v>
      </c>
      <c r="I405" s="2">
        <v>4200</v>
      </c>
      <c r="J405" s="2">
        <v>4200</v>
      </c>
      <c r="K405" s="2">
        <v>0</v>
      </c>
      <c r="L405" s="2">
        <v>336</v>
      </c>
      <c r="M405" s="2">
        <v>706</v>
      </c>
      <c r="N405" s="2">
        <v>80</v>
      </c>
      <c r="O405" s="2">
        <v>0</v>
      </c>
      <c r="P405" s="2">
        <v>0</v>
      </c>
      <c r="Q405" s="2">
        <v>5322</v>
      </c>
      <c r="R405" s="2">
        <v>0</v>
      </c>
      <c r="S405" s="2">
        <v>2348338.65</v>
      </c>
      <c r="T405" s="1">
        <v>2.2662830167190749E-3</v>
      </c>
    </row>
    <row r="406" spans="1:20" x14ac:dyDescent="0.3">
      <c r="A406" s="30" t="s">
        <v>179</v>
      </c>
      <c r="B406" s="30" t="s">
        <v>20</v>
      </c>
      <c r="C406" s="30" t="s">
        <v>21</v>
      </c>
      <c r="D406">
        <v>2025</v>
      </c>
      <c r="E406">
        <v>44</v>
      </c>
      <c r="F406" s="30" t="s">
        <v>198</v>
      </c>
      <c r="G406" s="30" t="s">
        <v>33</v>
      </c>
      <c r="H406" s="30" t="s">
        <v>37</v>
      </c>
      <c r="I406" s="2">
        <v>3270.03</v>
      </c>
      <c r="J406" s="2">
        <v>3270.03</v>
      </c>
      <c r="K406" s="2">
        <v>0</v>
      </c>
      <c r="L406" s="2">
        <v>261.60000000000002</v>
      </c>
      <c r="M406" s="2">
        <v>500</v>
      </c>
      <c r="N406" s="2">
        <v>80</v>
      </c>
      <c r="O406" s="2">
        <v>0</v>
      </c>
      <c r="P406" s="2">
        <v>0</v>
      </c>
      <c r="Q406" s="2">
        <v>4111.63</v>
      </c>
      <c r="R406" s="2">
        <v>609.5</v>
      </c>
      <c r="S406" s="2">
        <v>1309803.51</v>
      </c>
      <c r="T406" s="1">
        <v>3.1391196989539296E-3</v>
      </c>
    </row>
    <row r="407" spans="1:20" x14ac:dyDescent="0.3">
      <c r="A407" s="30" t="s">
        <v>179</v>
      </c>
      <c r="B407" s="30" t="s">
        <v>119</v>
      </c>
      <c r="C407" s="30" t="s">
        <v>21</v>
      </c>
      <c r="D407">
        <v>2025</v>
      </c>
      <c r="E407">
        <v>85</v>
      </c>
      <c r="F407" s="30" t="s">
        <v>199</v>
      </c>
      <c r="G407" s="30" t="s">
        <v>39</v>
      </c>
      <c r="H407" s="30" t="s">
        <v>37</v>
      </c>
      <c r="I407" s="2">
        <v>3028.07</v>
      </c>
      <c r="J407" s="2">
        <v>3028.07</v>
      </c>
      <c r="K407" s="2">
        <v>0</v>
      </c>
      <c r="L407" s="2">
        <v>242.24</v>
      </c>
      <c r="M407" s="2">
        <v>806</v>
      </c>
      <c r="N407" s="2">
        <v>80</v>
      </c>
      <c r="O407" s="2">
        <v>0</v>
      </c>
      <c r="P407" s="2">
        <v>0</v>
      </c>
      <c r="Q407" s="2">
        <v>4156.3100000000004</v>
      </c>
      <c r="R407" s="2">
        <v>228.07</v>
      </c>
      <c r="S407" s="2">
        <v>2348338.65</v>
      </c>
      <c r="T407" s="1">
        <v>1.7698937927883617E-3</v>
      </c>
    </row>
    <row r="408" spans="1:20" x14ac:dyDescent="0.3">
      <c r="A408" s="30" t="s">
        <v>179</v>
      </c>
      <c r="B408" s="30" t="s">
        <v>72</v>
      </c>
      <c r="C408" s="30" t="s">
        <v>21</v>
      </c>
      <c r="D408">
        <v>2025</v>
      </c>
      <c r="E408">
        <v>14</v>
      </c>
      <c r="F408" s="30" t="s">
        <v>200</v>
      </c>
      <c r="G408" s="30" t="s">
        <v>39</v>
      </c>
      <c r="H408" s="30" t="s">
        <v>201</v>
      </c>
      <c r="I408" s="2">
        <v>5919.19</v>
      </c>
      <c r="J408" s="2">
        <v>5861.32</v>
      </c>
      <c r="K408" s="2">
        <v>0</v>
      </c>
      <c r="L408" s="2">
        <v>468.9</v>
      </c>
      <c r="M408" s="2">
        <v>600</v>
      </c>
      <c r="N408" s="2">
        <v>80</v>
      </c>
      <c r="O408" s="2">
        <v>122.84</v>
      </c>
      <c r="P408" s="2">
        <v>0</v>
      </c>
      <c r="Q408" s="2">
        <v>7190.93</v>
      </c>
      <c r="R408" s="2">
        <v>0</v>
      </c>
      <c r="S408" s="2">
        <v>1657043.9</v>
      </c>
      <c r="T408" s="1">
        <v>4.3396134526067776E-3</v>
      </c>
    </row>
    <row r="409" spans="1:20" x14ac:dyDescent="0.3">
      <c r="A409" s="30" t="s">
        <v>179</v>
      </c>
      <c r="B409" s="30" t="s">
        <v>72</v>
      </c>
      <c r="C409" s="30" t="s">
        <v>21</v>
      </c>
      <c r="D409">
        <v>2025</v>
      </c>
      <c r="E409">
        <v>66</v>
      </c>
      <c r="F409" s="30" t="s">
        <v>202</v>
      </c>
      <c r="G409" s="30" t="s">
        <v>33</v>
      </c>
      <c r="H409" s="30" t="s">
        <v>37</v>
      </c>
      <c r="I409" s="2">
        <v>2751.76</v>
      </c>
      <c r="J409" s="2">
        <v>2746.93</v>
      </c>
      <c r="K409" s="2">
        <v>0</v>
      </c>
      <c r="L409" s="2">
        <v>219.75</v>
      </c>
      <c r="M409" s="2">
        <v>500</v>
      </c>
      <c r="N409" s="2">
        <v>80</v>
      </c>
      <c r="O409" s="2">
        <v>0</v>
      </c>
      <c r="P409" s="2">
        <v>306.8</v>
      </c>
      <c r="Q409" s="2">
        <v>3858.31</v>
      </c>
      <c r="R409" s="2">
        <v>93.16</v>
      </c>
      <c r="S409" s="2">
        <v>1657043.9</v>
      </c>
      <c r="T409" s="1">
        <v>2.3284295606169521E-3</v>
      </c>
    </row>
    <row r="410" spans="1:20" x14ac:dyDescent="0.3">
      <c r="A410" s="30" t="s">
        <v>179</v>
      </c>
      <c r="B410" s="30" t="s">
        <v>20</v>
      </c>
      <c r="C410" s="30" t="s">
        <v>21</v>
      </c>
      <c r="D410">
        <v>2025</v>
      </c>
      <c r="E410">
        <v>80</v>
      </c>
      <c r="F410" s="30" t="s">
        <v>203</v>
      </c>
      <c r="G410" s="30" t="s">
        <v>23</v>
      </c>
      <c r="H410" s="30" t="s">
        <v>186</v>
      </c>
      <c r="I410" s="2">
        <v>2509.98</v>
      </c>
      <c r="J410" s="2">
        <v>2501.8000000000002</v>
      </c>
      <c r="K410" s="2">
        <v>0</v>
      </c>
      <c r="L410" s="2">
        <v>200.14</v>
      </c>
      <c r="M410" s="2">
        <v>1299</v>
      </c>
      <c r="N410" s="2">
        <v>0</v>
      </c>
      <c r="O410" s="2">
        <v>0</v>
      </c>
      <c r="P410" s="2">
        <v>0</v>
      </c>
      <c r="Q410" s="2">
        <v>4009.12</v>
      </c>
      <c r="R410" s="2">
        <v>9.98</v>
      </c>
      <c r="S410" s="2">
        <v>1309803.51</v>
      </c>
      <c r="T410" s="1">
        <v>3.0608560516073133E-3</v>
      </c>
    </row>
    <row r="411" spans="1:20" x14ac:dyDescent="0.3">
      <c r="A411" s="30" t="s">
        <v>179</v>
      </c>
      <c r="B411" s="30" t="s">
        <v>119</v>
      </c>
      <c r="C411" s="30" t="s">
        <v>21</v>
      </c>
      <c r="D411">
        <v>2025</v>
      </c>
      <c r="E411">
        <v>91</v>
      </c>
      <c r="F411" s="30" t="s">
        <v>204</v>
      </c>
      <c r="G411" s="30" t="s">
        <v>33</v>
      </c>
      <c r="H411" s="30" t="s">
        <v>37</v>
      </c>
      <c r="I411" s="2">
        <v>2891.87</v>
      </c>
      <c r="J411" s="2">
        <v>2891.87</v>
      </c>
      <c r="K411" s="2">
        <v>0</v>
      </c>
      <c r="L411" s="2">
        <v>231.34</v>
      </c>
      <c r="M411" s="2">
        <v>500</v>
      </c>
      <c r="N411" s="2">
        <v>0</v>
      </c>
      <c r="O411" s="2">
        <v>0</v>
      </c>
      <c r="P411" s="2">
        <v>0</v>
      </c>
      <c r="Q411" s="2">
        <v>3623.21</v>
      </c>
      <c r="R411" s="2">
        <v>291.87</v>
      </c>
      <c r="S411" s="2">
        <v>2348338.65</v>
      </c>
      <c r="T411" s="1">
        <v>1.5428822414518453E-3</v>
      </c>
    </row>
    <row r="412" spans="1:20" x14ac:dyDescent="0.3">
      <c r="A412" s="30" t="s">
        <v>179</v>
      </c>
      <c r="B412" s="30" t="s">
        <v>72</v>
      </c>
      <c r="C412" s="30" t="s">
        <v>21</v>
      </c>
      <c r="D412">
        <v>2025</v>
      </c>
      <c r="E412">
        <v>3</v>
      </c>
      <c r="F412" s="30" t="s">
        <v>205</v>
      </c>
      <c r="G412" s="30" t="s">
        <v>33</v>
      </c>
      <c r="H412" s="30" t="s">
        <v>37</v>
      </c>
      <c r="I412" s="2">
        <v>2706.25</v>
      </c>
      <c r="J412" s="2">
        <v>2706.25</v>
      </c>
      <c r="K412" s="2">
        <v>0</v>
      </c>
      <c r="L412" s="2">
        <v>216.5</v>
      </c>
      <c r="M412" s="2">
        <v>0</v>
      </c>
      <c r="N412" s="2">
        <v>80</v>
      </c>
      <c r="O412" s="2">
        <v>122.84</v>
      </c>
      <c r="P412" s="2">
        <v>0</v>
      </c>
      <c r="Q412" s="2">
        <v>3125.59</v>
      </c>
      <c r="R412" s="2">
        <v>0</v>
      </c>
      <c r="S412" s="2">
        <v>1657043.9</v>
      </c>
      <c r="T412" s="1">
        <v>1.8862445346197528E-3</v>
      </c>
    </row>
    <row r="413" spans="1:20" x14ac:dyDescent="0.3">
      <c r="A413" s="30" t="s">
        <v>179</v>
      </c>
      <c r="B413" s="30" t="s">
        <v>119</v>
      </c>
      <c r="C413" s="30" t="s">
        <v>21</v>
      </c>
      <c r="D413">
        <v>2025</v>
      </c>
      <c r="E413">
        <v>77</v>
      </c>
      <c r="F413" s="30" t="s">
        <v>206</v>
      </c>
      <c r="G413" s="30" t="s">
        <v>42</v>
      </c>
      <c r="H413" s="30" t="s">
        <v>43</v>
      </c>
      <c r="I413" s="2">
        <v>2221.14</v>
      </c>
      <c r="J413" s="2">
        <v>2221.14</v>
      </c>
      <c r="K413" s="2">
        <v>0</v>
      </c>
      <c r="L413" s="2">
        <v>177.69</v>
      </c>
      <c r="M413" s="2">
        <v>906</v>
      </c>
      <c r="N413" s="2">
        <v>80</v>
      </c>
      <c r="O413" s="2">
        <v>122.84</v>
      </c>
      <c r="P413" s="2">
        <v>0</v>
      </c>
      <c r="Q413" s="2">
        <v>3507.67</v>
      </c>
      <c r="R413" s="2">
        <v>156.44</v>
      </c>
      <c r="S413" s="2">
        <v>2348338.65</v>
      </c>
      <c r="T413" s="1">
        <v>1.4936815011753098E-3</v>
      </c>
    </row>
    <row r="414" spans="1:20" x14ac:dyDescent="0.3">
      <c r="A414" s="30" t="s">
        <v>179</v>
      </c>
      <c r="B414" s="30" t="s">
        <v>20</v>
      </c>
      <c r="C414" s="30" t="s">
        <v>21</v>
      </c>
      <c r="D414">
        <v>2025</v>
      </c>
      <c r="E414">
        <v>39</v>
      </c>
      <c r="F414" s="30" t="s">
        <v>207</v>
      </c>
      <c r="G414" s="30" t="s">
        <v>29</v>
      </c>
      <c r="H414" s="30" t="s">
        <v>111</v>
      </c>
      <c r="I414" s="2">
        <v>3087.26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122.84</v>
      </c>
      <c r="P414" s="2">
        <v>0</v>
      </c>
      <c r="Q414" s="2">
        <v>3210.1</v>
      </c>
      <c r="R414" s="2">
        <v>0</v>
      </c>
      <c r="S414" s="2">
        <v>1309803.51</v>
      </c>
      <c r="T414" s="1">
        <v>2.4508256204016435E-3</v>
      </c>
    </row>
    <row r="415" spans="1:20" x14ac:dyDescent="0.3">
      <c r="A415" s="30" t="s">
        <v>179</v>
      </c>
      <c r="B415" s="30" t="s">
        <v>72</v>
      </c>
      <c r="C415" s="30" t="s">
        <v>21</v>
      </c>
      <c r="D415">
        <v>2025</v>
      </c>
      <c r="E415">
        <v>4</v>
      </c>
      <c r="F415" s="30" t="s">
        <v>208</v>
      </c>
      <c r="G415" s="30" t="s">
        <v>23</v>
      </c>
      <c r="H415" s="30" t="s">
        <v>209</v>
      </c>
      <c r="I415" s="2">
        <v>4049.87</v>
      </c>
      <c r="J415" s="2">
        <v>4049.87</v>
      </c>
      <c r="K415" s="2">
        <v>0</v>
      </c>
      <c r="L415" s="2">
        <v>323.98</v>
      </c>
      <c r="M415" s="2">
        <v>706</v>
      </c>
      <c r="N415" s="2">
        <v>80</v>
      </c>
      <c r="O415" s="2">
        <v>122.84</v>
      </c>
      <c r="P415" s="2">
        <v>0</v>
      </c>
      <c r="Q415" s="2">
        <v>5282.69</v>
      </c>
      <c r="R415" s="2">
        <v>196.19</v>
      </c>
      <c r="S415" s="2">
        <v>1657043.9</v>
      </c>
      <c r="T415" s="1">
        <v>3.1880205467097159E-3</v>
      </c>
    </row>
    <row r="416" spans="1:20" x14ac:dyDescent="0.3">
      <c r="A416" s="30" t="s">
        <v>179</v>
      </c>
      <c r="B416" s="30" t="s">
        <v>72</v>
      </c>
      <c r="C416" s="30" t="s">
        <v>21</v>
      </c>
      <c r="D416">
        <v>2025</v>
      </c>
      <c r="E416">
        <v>71</v>
      </c>
      <c r="F416" s="30" t="s">
        <v>210</v>
      </c>
      <c r="G416" s="30" t="s">
        <v>29</v>
      </c>
      <c r="H416" s="30" t="s">
        <v>111</v>
      </c>
      <c r="I416" s="2">
        <v>2583.65</v>
      </c>
      <c r="J416" s="2">
        <v>2566.98</v>
      </c>
      <c r="K416" s="2">
        <v>0</v>
      </c>
      <c r="L416" s="2">
        <v>205.35</v>
      </c>
      <c r="M416" s="2">
        <v>400</v>
      </c>
      <c r="N416" s="2">
        <v>80</v>
      </c>
      <c r="O416" s="2">
        <v>122.84</v>
      </c>
      <c r="P416" s="2">
        <v>0</v>
      </c>
      <c r="Q416" s="2">
        <v>3391.84</v>
      </c>
      <c r="R416" s="2">
        <v>262.35000000000002</v>
      </c>
      <c r="S416" s="2">
        <v>1657043.9</v>
      </c>
      <c r="T416" s="1">
        <v>2.0469222330198977E-3</v>
      </c>
    </row>
    <row r="417" spans="1:20" x14ac:dyDescent="0.3">
      <c r="A417" s="30" t="s">
        <v>179</v>
      </c>
      <c r="B417" s="30" t="s">
        <v>119</v>
      </c>
      <c r="C417" s="30" t="s">
        <v>21</v>
      </c>
      <c r="D417">
        <v>2025</v>
      </c>
      <c r="E417">
        <v>93</v>
      </c>
      <c r="F417" s="30" t="s">
        <v>211</v>
      </c>
      <c r="G417" s="30" t="s">
        <v>23</v>
      </c>
      <c r="H417" s="30" t="s">
        <v>212</v>
      </c>
      <c r="I417" s="2">
        <v>6720</v>
      </c>
      <c r="J417" s="2">
        <v>6720</v>
      </c>
      <c r="K417" s="2">
        <v>0</v>
      </c>
      <c r="L417" s="2">
        <v>537.6</v>
      </c>
      <c r="M417" s="2">
        <v>2034</v>
      </c>
      <c r="N417" s="2">
        <v>80</v>
      </c>
      <c r="O417" s="2">
        <v>0</v>
      </c>
      <c r="P417" s="2">
        <v>0</v>
      </c>
      <c r="Q417" s="2">
        <v>9371.6</v>
      </c>
      <c r="R417" s="2">
        <v>0</v>
      </c>
      <c r="S417" s="2">
        <v>2348338.65</v>
      </c>
      <c r="T417" s="1">
        <v>3.9907361742736727E-3</v>
      </c>
    </row>
    <row r="418" spans="1:20" x14ac:dyDescent="0.3">
      <c r="A418" s="30" t="s">
        <v>179</v>
      </c>
      <c r="B418" s="30" t="s">
        <v>119</v>
      </c>
      <c r="C418" s="30" t="s">
        <v>21</v>
      </c>
      <c r="D418">
        <v>2025</v>
      </c>
      <c r="E418">
        <v>82</v>
      </c>
      <c r="F418" s="30" t="s">
        <v>213</v>
      </c>
      <c r="G418" s="30" t="s">
        <v>23</v>
      </c>
      <c r="H418" s="30" t="s">
        <v>24</v>
      </c>
      <c r="I418" s="2">
        <v>2568.48</v>
      </c>
      <c r="J418" s="2">
        <v>2568.48</v>
      </c>
      <c r="K418" s="2">
        <v>0</v>
      </c>
      <c r="L418" s="2">
        <v>205.47</v>
      </c>
      <c r="M418" s="2">
        <v>400</v>
      </c>
      <c r="N418" s="2">
        <v>80</v>
      </c>
      <c r="O418" s="2">
        <v>0</v>
      </c>
      <c r="P418" s="2">
        <v>0</v>
      </c>
      <c r="Q418" s="2">
        <v>3253.95</v>
      </c>
      <c r="R418" s="2">
        <v>247.18</v>
      </c>
      <c r="S418" s="2">
        <v>2348338.65</v>
      </c>
      <c r="T418" s="1">
        <v>1.385639162392528E-3</v>
      </c>
    </row>
    <row r="419" spans="1:20" x14ac:dyDescent="0.3">
      <c r="A419" s="30" t="s">
        <v>179</v>
      </c>
      <c r="B419" s="30" t="s">
        <v>72</v>
      </c>
      <c r="C419" s="30" t="s">
        <v>21</v>
      </c>
      <c r="D419">
        <v>2025</v>
      </c>
      <c r="E419">
        <v>87</v>
      </c>
      <c r="F419" s="30" t="s">
        <v>214</v>
      </c>
      <c r="G419" s="30" t="s">
        <v>23</v>
      </c>
      <c r="H419" s="30" t="s">
        <v>24</v>
      </c>
      <c r="I419" s="2">
        <v>2505.46</v>
      </c>
      <c r="J419" s="2">
        <v>2505.46</v>
      </c>
      <c r="K419" s="2">
        <v>0</v>
      </c>
      <c r="L419" s="2">
        <v>200.43</v>
      </c>
      <c r="M419" s="2">
        <v>400</v>
      </c>
      <c r="N419" s="2">
        <v>80</v>
      </c>
      <c r="O419" s="2">
        <v>0</v>
      </c>
      <c r="P419" s="2">
        <v>306.8</v>
      </c>
      <c r="Q419" s="2">
        <v>3492.69</v>
      </c>
      <c r="R419" s="2">
        <v>184.16</v>
      </c>
      <c r="S419" s="2">
        <v>1657043.9</v>
      </c>
      <c r="T419" s="1">
        <v>2.1077836260101498E-3</v>
      </c>
    </row>
    <row r="420" spans="1:20" x14ac:dyDescent="0.3">
      <c r="A420" s="30" t="s">
        <v>179</v>
      </c>
      <c r="B420" s="30" t="s">
        <v>119</v>
      </c>
      <c r="C420" s="30" t="s">
        <v>21</v>
      </c>
      <c r="D420">
        <v>2025</v>
      </c>
      <c r="E420">
        <v>8</v>
      </c>
      <c r="F420" s="30" t="s">
        <v>215</v>
      </c>
      <c r="G420" s="30" t="s">
        <v>39</v>
      </c>
      <c r="H420" s="30" t="s">
        <v>55</v>
      </c>
      <c r="I420" s="2">
        <v>3314.74</v>
      </c>
      <c r="J420" s="2">
        <v>3314.74</v>
      </c>
      <c r="K420" s="2">
        <v>0</v>
      </c>
      <c r="L420" s="2">
        <v>265.17</v>
      </c>
      <c r="M420" s="2">
        <v>706</v>
      </c>
      <c r="N420" s="2">
        <v>80</v>
      </c>
      <c r="O420" s="2">
        <v>122.84</v>
      </c>
      <c r="P420" s="2">
        <v>0</v>
      </c>
      <c r="Q420" s="2">
        <v>4488.75</v>
      </c>
      <c r="R420" s="2">
        <v>28.36</v>
      </c>
      <c r="S420" s="2">
        <v>2348338.65</v>
      </c>
      <c r="T420" s="1">
        <v>1.9114577022355784E-3</v>
      </c>
    </row>
    <row r="421" spans="1:20" x14ac:dyDescent="0.3">
      <c r="A421" s="30" t="s">
        <v>179</v>
      </c>
      <c r="B421" s="30" t="s">
        <v>72</v>
      </c>
      <c r="C421" s="30" t="s">
        <v>21</v>
      </c>
      <c r="D421">
        <v>2025</v>
      </c>
      <c r="E421">
        <v>30</v>
      </c>
      <c r="F421" s="30" t="s">
        <v>216</v>
      </c>
      <c r="G421" s="30" t="s">
        <v>217</v>
      </c>
      <c r="H421" s="30" t="s">
        <v>218</v>
      </c>
      <c r="I421" s="2">
        <v>2414.37</v>
      </c>
      <c r="J421" s="2">
        <v>2414.37</v>
      </c>
      <c r="K421" s="2">
        <v>0</v>
      </c>
      <c r="L421" s="2">
        <v>193.14</v>
      </c>
      <c r="M421" s="2">
        <v>0</v>
      </c>
      <c r="N421" s="2">
        <v>0</v>
      </c>
      <c r="O421" s="2">
        <v>122.84</v>
      </c>
      <c r="P421" s="2">
        <v>0</v>
      </c>
      <c r="Q421" s="2">
        <v>2730.35</v>
      </c>
      <c r="R421" s="2">
        <v>0</v>
      </c>
      <c r="S421" s="2">
        <v>1657043.9</v>
      </c>
      <c r="T421" s="1">
        <v>1.6477233946547826E-3</v>
      </c>
    </row>
    <row r="422" spans="1:20" x14ac:dyDescent="0.3">
      <c r="A422" s="30" t="s">
        <v>179</v>
      </c>
      <c r="B422" s="30" t="s">
        <v>119</v>
      </c>
      <c r="C422" s="30" t="s">
        <v>21</v>
      </c>
      <c r="D422">
        <v>2025</v>
      </c>
      <c r="E422">
        <v>96</v>
      </c>
      <c r="F422" s="30" t="s">
        <v>219</v>
      </c>
      <c r="G422" s="30" t="s">
        <v>33</v>
      </c>
      <c r="H422" s="30" t="s">
        <v>50</v>
      </c>
      <c r="I422" s="2">
        <v>0</v>
      </c>
      <c r="J422" s="2">
        <v>0</v>
      </c>
      <c r="K422" s="2">
        <v>0</v>
      </c>
      <c r="L422" s="2">
        <v>0</v>
      </c>
      <c r="M422" s="2">
        <v>266</v>
      </c>
      <c r="N422" s="2">
        <v>0</v>
      </c>
      <c r="O422" s="2">
        <v>0</v>
      </c>
      <c r="P422" s="2">
        <v>0</v>
      </c>
      <c r="Q422" s="2">
        <v>266</v>
      </c>
      <c r="R422" s="2">
        <v>0</v>
      </c>
      <c r="S422" s="2">
        <v>2348338.65</v>
      </c>
      <c r="T422" s="1">
        <v>1.1327156753988612E-4</v>
      </c>
    </row>
    <row r="423" spans="1:20" x14ac:dyDescent="0.3">
      <c r="A423" s="30" t="s">
        <v>179</v>
      </c>
      <c r="B423" s="30" t="s">
        <v>72</v>
      </c>
      <c r="C423" s="30" t="s">
        <v>21</v>
      </c>
      <c r="D423">
        <v>2025</v>
      </c>
      <c r="E423">
        <v>95</v>
      </c>
      <c r="F423" s="30" t="s">
        <v>220</v>
      </c>
      <c r="G423" s="30" t="s">
        <v>33</v>
      </c>
      <c r="H423" s="30" t="s">
        <v>221</v>
      </c>
      <c r="I423" s="2">
        <v>2030.61</v>
      </c>
      <c r="J423" s="2">
        <v>2003.52</v>
      </c>
      <c r="K423" s="2">
        <v>0</v>
      </c>
      <c r="L423" s="2">
        <v>160.28</v>
      </c>
      <c r="M423" s="2">
        <v>1070</v>
      </c>
      <c r="N423" s="2">
        <v>0</v>
      </c>
      <c r="O423" s="2">
        <v>0</v>
      </c>
      <c r="P423" s="2">
        <v>0</v>
      </c>
      <c r="Q423" s="2">
        <v>3260.89</v>
      </c>
      <c r="R423" s="2">
        <v>163.94</v>
      </c>
      <c r="S423" s="2">
        <v>1657043.9</v>
      </c>
      <c r="T423" s="1">
        <v>1.9678959622011221E-3</v>
      </c>
    </row>
    <row r="424" spans="1:20" x14ac:dyDescent="0.3">
      <c r="A424" s="30" t="s">
        <v>179</v>
      </c>
      <c r="B424" s="30" t="s">
        <v>20</v>
      </c>
      <c r="C424" s="30" t="s">
        <v>21</v>
      </c>
      <c r="D424">
        <v>2025</v>
      </c>
      <c r="E424" t="s">
        <v>222</v>
      </c>
      <c r="F424" s="30" t="s">
        <v>223</v>
      </c>
      <c r="G424" s="30" t="s">
        <v>23</v>
      </c>
      <c r="H424" s="30" t="s">
        <v>224</v>
      </c>
      <c r="I424" s="2">
        <v>0</v>
      </c>
      <c r="J424" s="2">
        <v>0</v>
      </c>
      <c r="K424" s="2">
        <v>0</v>
      </c>
      <c r="L424" s="2">
        <v>0</v>
      </c>
      <c r="M424" s="2">
        <v>706</v>
      </c>
      <c r="N424" s="2">
        <v>80</v>
      </c>
      <c r="O424" s="2">
        <v>122.84</v>
      </c>
      <c r="P424" s="2">
        <v>0</v>
      </c>
      <c r="Q424" s="2">
        <v>908.84</v>
      </c>
      <c r="R424" s="2">
        <v>0</v>
      </c>
      <c r="S424" s="2">
        <v>1309803.51</v>
      </c>
      <c r="T424" s="1">
        <v>6.9387506832990547E-4</v>
      </c>
    </row>
    <row r="425" spans="1:20" x14ac:dyDescent="0.3">
      <c r="A425" s="30" t="s">
        <v>179</v>
      </c>
      <c r="B425" s="30" t="s">
        <v>72</v>
      </c>
      <c r="C425" s="30" t="s">
        <v>21</v>
      </c>
      <c r="D425">
        <v>2025</v>
      </c>
      <c r="E425" t="s">
        <v>225</v>
      </c>
      <c r="F425" s="30" t="s">
        <v>226</v>
      </c>
      <c r="G425" s="30" t="s">
        <v>33</v>
      </c>
      <c r="H425" s="30" t="s">
        <v>37</v>
      </c>
      <c r="I425" s="2">
        <v>0</v>
      </c>
      <c r="J425" s="2">
        <v>0</v>
      </c>
      <c r="K425" s="2">
        <v>0</v>
      </c>
      <c r="L425" s="2">
        <v>0</v>
      </c>
      <c r="M425" s="2">
        <v>500</v>
      </c>
      <c r="N425" s="2">
        <v>0</v>
      </c>
      <c r="O425" s="2">
        <v>0</v>
      </c>
      <c r="P425" s="2">
        <v>0</v>
      </c>
      <c r="Q425" s="2">
        <v>500</v>
      </c>
      <c r="R425" s="2">
        <v>0</v>
      </c>
      <c r="S425" s="2">
        <v>1657043.9</v>
      </c>
      <c r="T425" s="1">
        <v>3.017421566199906E-4</v>
      </c>
    </row>
    <row r="426" spans="1:20" x14ac:dyDescent="0.3">
      <c r="A426" s="30" t="s">
        <v>179</v>
      </c>
      <c r="B426" s="30" t="s">
        <v>72</v>
      </c>
      <c r="C426" s="30" t="s">
        <v>21</v>
      </c>
      <c r="D426">
        <v>2025</v>
      </c>
      <c r="E426" t="s">
        <v>227</v>
      </c>
      <c r="F426" s="30" t="s">
        <v>228</v>
      </c>
      <c r="G426" s="30" t="s">
        <v>217</v>
      </c>
      <c r="H426" s="30" t="s">
        <v>229</v>
      </c>
      <c r="I426" s="2">
        <v>0</v>
      </c>
      <c r="J426" s="2">
        <v>0</v>
      </c>
      <c r="K426" s="2">
        <v>0</v>
      </c>
      <c r="L426" s="2">
        <v>0</v>
      </c>
      <c r="M426" s="2">
        <v>706</v>
      </c>
      <c r="N426" s="2">
        <v>80</v>
      </c>
      <c r="O426" s="2">
        <v>0</v>
      </c>
      <c r="P426" s="2">
        <v>0</v>
      </c>
      <c r="Q426" s="2">
        <v>786</v>
      </c>
      <c r="R426" s="2">
        <v>0</v>
      </c>
      <c r="S426" s="2">
        <v>1657043.9</v>
      </c>
      <c r="T426" s="1">
        <v>4.7433867020662521E-4</v>
      </c>
    </row>
    <row r="427" spans="1:20" x14ac:dyDescent="0.3">
      <c r="A427" s="30" t="s">
        <v>179</v>
      </c>
      <c r="B427" s="30" t="s">
        <v>119</v>
      </c>
      <c r="C427" s="30" t="s">
        <v>21</v>
      </c>
      <c r="D427">
        <v>2025</v>
      </c>
      <c r="E427">
        <v>98</v>
      </c>
      <c r="F427" s="30" t="s">
        <v>230</v>
      </c>
      <c r="G427" s="30" t="s">
        <v>23</v>
      </c>
      <c r="H427" s="30" t="s">
        <v>186</v>
      </c>
      <c r="I427" s="2">
        <v>1735.7</v>
      </c>
      <c r="J427" s="2">
        <v>1735.7</v>
      </c>
      <c r="K427" s="2">
        <v>0</v>
      </c>
      <c r="L427" s="2">
        <v>138.85</v>
      </c>
      <c r="M427" s="2">
        <v>872</v>
      </c>
      <c r="N427" s="2">
        <v>80</v>
      </c>
      <c r="O427" s="2">
        <v>122.84</v>
      </c>
      <c r="P427" s="2">
        <v>0</v>
      </c>
      <c r="Q427" s="2">
        <v>2949.39</v>
      </c>
      <c r="R427" s="2">
        <v>0</v>
      </c>
      <c r="S427" s="2">
        <v>2348338.65</v>
      </c>
      <c r="T427" s="1">
        <v>1.2559474758889653E-3</v>
      </c>
    </row>
    <row r="428" spans="1:20" x14ac:dyDescent="0.3">
      <c r="A428" s="30" t="s">
        <v>179</v>
      </c>
      <c r="B428" s="30" t="s">
        <v>119</v>
      </c>
      <c r="C428" s="30" t="s">
        <v>21</v>
      </c>
      <c r="D428">
        <v>2025</v>
      </c>
      <c r="E428">
        <v>97</v>
      </c>
      <c r="F428" s="30" t="s">
        <v>231</v>
      </c>
      <c r="G428" s="30" t="s">
        <v>42</v>
      </c>
      <c r="H428" s="30" t="s">
        <v>232</v>
      </c>
      <c r="I428" s="2">
        <v>798.78</v>
      </c>
      <c r="J428" s="2">
        <v>732.95</v>
      </c>
      <c r="K428" s="2">
        <v>0</v>
      </c>
      <c r="L428" s="2">
        <v>58.63</v>
      </c>
      <c r="M428" s="2">
        <v>0</v>
      </c>
      <c r="N428" s="2">
        <v>0</v>
      </c>
      <c r="O428" s="2">
        <v>122.84</v>
      </c>
      <c r="P428" s="2">
        <v>0</v>
      </c>
      <c r="Q428" s="2">
        <v>980.25</v>
      </c>
      <c r="R428" s="2">
        <v>8.7799999999999994</v>
      </c>
      <c r="S428" s="2">
        <v>2348338.65</v>
      </c>
      <c r="T428" s="1">
        <v>4.1742275970290744E-4</v>
      </c>
    </row>
    <row r="429" spans="1:20" x14ac:dyDescent="0.3">
      <c r="A429" s="30" t="s">
        <v>179</v>
      </c>
      <c r="B429" s="30" t="s">
        <v>20</v>
      </c>
      <c r="C429" s="30" t="s">
        <v>21</v>
      </c>
      <c r="D429">
        <v>2025</v>
      </c>
      <c r="E429">
        <v>99</v>
      </c>
      <c r="F429" s="30" t="s">
        <v>233</v>
      </c>
      <c r="G429" s="30" t="s">
        <v>42</v>
      </c>
      <c r="H429" s="30" t="s">
        <v>232</v>
      </c>
      <c r="I429" s="2">
        <v>762.14</v>
      </c>
      <c r="J429" s="2">
        <v>762.14</v>
      </c>
      <c r="K429" s="2">
        <v>0</v>
      </c>
      <c r="L429" s="2">
        <v>60.97</v>
      </c>
      <c r="M429" s="2">
        <v>0</v>
      </c>
      <c r="N429" s="2">
        <v>0</v>
      </c>
      <c r="O429" s="2">
        <v>0</v>
      </c>
      <c r="P429" s="2">
        <v>0</v>
      </c>
      <c r="Q429" s="2">
        <v>823.11</v>
      </c>
      <c r="R429" s="2">
        <v>37.97</v>
      </c>
      <c r="S429" s="2">
        <v>1309803.51</v>
      </c>
      <c r="T429" s="1">
        <v>6.2842250285311874E-4</v>
      </c>
    </row>
    <row r="430" spans="1:20" x14ac:dyDescent="0.3">
      <c r="A430" s="30" t="s">
        <v>179</v>
      </c>
      <c r="B430" s="30" t="s">
        <v>72</v>
      </c>
      <c r="C430" s="30" t="s">
        <v>257</v>
      </c>
      <c r="D430">
        <v>2025</v>
      </c>
      <c r="E430">
        <v>90</v>
      </c>
      <c r="F430" s="30" t="s">
        <v>180</v>
      </c>
      <c r="G430" s="30" t="s">
        <v>33</v>
      </c>
      <c r="H430" s="30" t="s">
        <v>181</v>
      </c>
      <c r="I430" s="2">
        <v>2699.82</v>
      </c>
      <c r="J430" s="2">
        <v>2699.82</v>
      </c>
      <c r="K430" s="2">
        <v>0</v>
      </c>
      <c r="L430" s="2">
        <v>215.98</v>
      </c>
      <c r="M430" s="2">
        <v>700</v>
      </c>
      <c r="N430" s="2">
        <v>80</v>
      </c>
      <c r="O430" s="2">
        <v>0</v>
      </c>
      <c r="P430" s="2">
        <v>0</v>
      </c>
      <c r="Q430" s="2">
        <v>3695.8</v>
      </c>
      <c r="R430" s="2">
        <v>499.82</v>
      </c>
      <c r="S430" s="2">
        <v>1849662.93</v>
      </c>
      <c r="T430" s="1">
        <v>1.9980937824168863E-3</v>
      </c>
    </row>
    <row r="431" spans="1:20" x14ac:dyDescent="0.3">
      <c r="A431" s="30" t="s">
        <v>179</v>
      </c>
      <c r="B431" s="30" t="s">
        <v>119</v>
      </c>
      <c r="C431" s="30" t="s">
        <v>257</v>
      </c>
      <c r="D431">
        <v>2025</v>
      </c>
      <c r="E431">
        <v>75</v>
      </c>
      <c r="F431" s="30" t="s">
        <v>182</v>
      </c>
      <c r="G431" s="30" t="s">
        <v>39</v>
      </c>
      <c r="H431" s="30" t="s">
        <v>57</v>
      </c>
      <c r="I431" s="2">
        <v>2747.92</v>
      </c>
      <c r="J431" s="2">
        <v>2722.34</v>
      </c>
      <c r="K431" s="2">
        <v>0</v>
      </c>
      <c r="L431" s="2">
        <v>217.78</v>
      </c>
      <c r="M431" s="2">
        <v>628</v>
      </c>
      <c r="N431" s="2">
        <v>0</v>
      </c>
      <c r="O431" s="2">
        <v>0</v>
      </c>
      <c r="P431" s="2">
        <v>0</v>
      </c>
      <c r="Q431" s="2">
        <v>3593.7</v>
      </c>
      <c r="R431" s="2">
        <v>322.42</v>
      </c>
      <c r="S431" s="2">
        <v>2637808.56</v>
      </c>
      <c r="T431" s="1">
        <v>1.3623808999998089E-3</v>
      </c>
    </row>
    <row r="432" spans="1:20" x14ac:dyDescent="0.3">
      <c r="A432" s="30" t="s">
        <v>179</v>
      </c>
      <c r="B432" s="30" t="s">
        <v>119</v>
      </c>
      <c r="C432" s="30" t="s">
        <v>257</v>
      </c>
      <c r="D432">
        <v>2025</v>
      </c>
      <c r="E432">
        <v>63</v>
      </c>
      <c r="F432" s="30" t="s">
        <v>183</v>
      </c>
      <c r="G432" s="30" t="s">
        <v>33</v>
      </c>
      <c r="H432" s="30" t="s">
        <v>37</v>
      </c>
      <c r="I432" s="2">
        <v>2986.39</v>
      </c>
      <c r="J432" s="2">
        <v>2986.39</v>
      </c>
      <c r="K432" s="2">
        <v>0</v>
      </c>
      <c r="L432" s="2">
        <v>238.91</v>
      </c>
      <c r="M432" s="2">
        <v>706</v>
      </c>
      <c r="N432" s="2">
        <v>0</v>
      </c>
      <c r="O432" s="2">
        <v>122.84</v>
      </c>
      <c r="P432" s="2">
        <v>0</v>
      </c>
      <c r="Q432" s="2">
        <v>4054.14</v>
      </c>
      <c r="R432" s="2">
        <v>298.77</v>
      </c>
      <c r="S432" s="2">
        <v>2637808.56</v>
      </c>
      <c r="T432" s="1">
        <v>1.5369348865863109E-3</v>
      </c>
    </row>
    <row r="433" spans="1:20" x14ac:dyDescent="0.3">
      <c r="A433" s="30" t="s">
        <v>179</v>
      </c>
      <c r="B433" s="30" t="s">
        <v>20</v>
      </c>
      <c r="C433" s="30" t="s">
        <v>257</v>
      </c>
      <c r="D433">
        <v>2025</v>
      </c>
      <c r="E433">
        <v>900000</v>
      </c>
      <c r="F433" s="30" t="s">
        <v>184</v>
      </c>
      <c r="G433" s="30" t="s">
        <v>76</v>
      </c>
      <c r="H433" s="30" t="s">
        <v>76</v>
      </c>
      <c r="I433" s="2">
        <v>2824</v>
      </c>
      <c r="J433" s="2">
        <v>2824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2824</v>
      </c>
      <c r="R433" s="2">
        <v>0</v>
      </c>
      <c r="S433" s="2">
        <v>1477999.27</v>
      </c>
      <c r="T433" s="1">
        <v>1.9106910654969405E-3</v>
      </c>
    </row>
    <row r="434" spans="1:20" x14ac:dyDescent="0.3">
      <c r="A434" s="30" t="s">
        <v>179</v>
      </c>
      <c r="B434" s="30" t="s">
        <v>119</v>
      </c>
      <c r="C434" s="30" t="s">
        <v>257</v>
      </c>
      <c r="D434">
        <v>2025</v>
      </c>
      <c r="E434">
        <v>88</v>
      </c>
      <c r="F434" s="30" t="s">
        <v>185</v>
      </c>
      <c r="G434" s="30" t="s">
        <v>23</v>
      </c>
      <c r="H434" s="30" t="s">
        <v>186</v>
      </c>
      <c r="I434" s="2">
        <v>2636.14</v>
      </c>
      <c r="J434" s="2">
        <v>2633.53</v>
      </c>
      <c r="K434" s="2">
        <v>0</v>
      </c>
      <c r="L434" s="2">
        <v>210.68</v>
      </c>
      <c r="M434" s="2">
        <v>1300</v>
      </c>
      <c r="N434" s="2">
        <v>80</v>
      </c>
      <c r="O434" s="2">
        <v>122.84</v>
      </c>
      <c r="P434" s="2">
        <v>0</v>
      </c>
      <c r="Q434" s="2">
        <v>4349.66</v>
      </c>
      <c r="R434" s="2">
        <v>136.13999999999999</v>
      </c>
      <c r="S434" s="2">
        <v>2637808.56</v>
      </c>
      <c r="T434" s="1">
        <v>1.6489672775950048E-3</v>
      </c>
    </row>
    <row r="435" spans="1:20" x14ac:dyDescent="0.3">
      <c r="A435" s="30" t="s">
        <v>179</v>
      </c>
      <c r="B435" s="30" t="s">
        <v>119</v>
      </c>
      <c r="C435" s="30" t="s">
        <v>257</v>
      </c>
      <c r="D435">
        <v>2025</v>
      </c>
      <c r="E435">
        <v>84</v>
      </c>
      <c r="F435" s="30" t="s">
        <v>187</v>
      </c>
      <c r="G435" s="30" t="s">
        <v>26</v>
      </c>
      <c r="H435" s="30" t="s">
        <v>188</v>
      </c>
      <c r="I435" s="2">
        <v>3639.19</v>
      </c>
      <c r="J435" s="2">
        <v>3639.19</v>
      </c>
      <c r="K435" s="2">
        <v>0</v>
      </c>
      <c r="L435" s="2">
        <v>291.13</v>
      </c>
      <c r="M435" s="2">
        <v>706</v>
      </c>
      <c r="N435" s="2">
        <v>80</v>
      </c>
      <c r="O435" s="2">
        <v>0</v>
      </c>
      <c r="P435" s="2">
        <v>0</v>
      </c>
      <c r="Q435" s="2">
        <v>4716.32</v>
      </c>
      <c r="R435" s="2">
        <v>1139.19</v>
      </c>
      <c r="S435" s="2">
        <v>2637808.56</v>
      </c>
      <c r="T435" s="1">
        <v>1.7879690253185011E-3</v>
      </c>
    </row>
    <row r="436" spans="1:20" x14ac:dyDescent="0.3">
      <c r="A436" s="30" t="s">
        <v>179</v>
      </c>
      <c r="B436" s="30" t="s">
        <v>20</v>
      </c>
      <c r="C436" s="30" t="s">
        <v>257</v>
      </c>
      <c r="D436">
        <v>2025</v>
      </c>
      <c r="E436">
        <v>51</v>
      </c>
      <c r="F436" s="30" t="s">
        <v>189</v>
      </c>
      <c r="G436" s="30" t="s">
        <v>33</v>
      </c>
      <c r="H436" s="30" t="s">
        <v>37</v>
      </c>
      <c r="I436" s="2">
        <v>4132.05</v>
      </c>
      <c r="J436" s="2">
        <v>4132.05</v>
      </c>
      <c r="K436" s="2">
        <v>0</v>
      </c>
      <c r="L436" s="2">
        <v>330.56</v>
      </c>
      <c r="M436" s="2">
        <v>806</v>
      </c>
      <c r="N436" s="2">
        <v>0</v>
      </c>
      <c r="O436" s="2">
        <v>0</v>
      </c>
      <c r="P436" s="2">
        <v>0</v>
      </c>
      <c r="Q436" s="2">
        <v>5268.61</v>
      </c>
      <c r="R436" s="2">
        <v>0</v>
      </c>
      <c r="S436" s="2">
        <v>1477999.27</v>
      </c>
      <c r="T436" s="1">
        <v>3.5646905292449843E-3</v>
      </c>
    </row>
    <row r="437" spans="1:20" x14ac:dyDescent="0.3">
      <c r="A437" s="30" t="s">
        <v>179</v>
      </c>
      <c r="B437" s="30" t="s">
        <v>20</v>
      </c>
      <c r="C437" s="30" t="s">
        <v>257</v>
      </c>
      <c r="D437">
        <v>2025</v>
      </c>
      <c r="E437">
        <v>94</v>
      </c>
      <c r="F437" s="30" t="s">
        <v>190</v>
      </c>
      <c r="G437" s="30" t="s">
        <v>33</v>
      </c>
      <c r="H437" s="30" t="s">
        <v>37</v>
      </c>
      <c r="I437" s="2">
        <v>3212.34</v>
      </c>
      <c r="J437" s="2">
        <v>3212.34</v>
      </c>
      <c r="K437" s="2">
        <v>0</v>
      </c>
      <c r="L437" s="2">
        <v>256.98</v>
      </c>
      <c r="M437" s="2">
        <v>500</v>
      </c>
      <c r="N437" s="2">
        <v>0</v>
      </c>
      <c r="O437" s="2">
        <v>0</v>
      </c>
      <c r="P437" s="2">
        <v>0</v>
      </c>
      <c r="Q437" s="2">
        <v>3969.32</v>
      </c>
      <c r="R437" s="2">
        <v>553.74</v>
      </c>
      <c r="S437" s="2">
        <v>1477999.27</v>
      </c>
      <c r="T437" s="1">
        <v>2.6856034915362305E-3</v>
      </c>
    </row>
    <row r="438" spans="1:20" x14ac:dyDescent="0.3">
      <c r="A438" s="30" t="s">
        <v>179</v>
      </c>
      <c r="B438" s="30" t="s">
        <v>119</v>
      </c>
      <c r="C438" s="30" t="s">
        <v>257</v>
      </c>
      <c r="D438">
        <v>2025</v>
      </c>
      <c r="E438">
        <v>24</v>
      </c>
      <c r="F438" s="30" t="s">
        <v>191</v>
      </c>
      <c r="G438" s="30" t="s">
        <v>89</v>
      </c>
      <c r="H438" s="30" t="s">
        <v>37</v>
      </c>
      <c r="I438" s="2">
        <v>3291.16</v>
      </c>
      <c r="J438" s="2">
        <v>3291.16</v>
      </c>
      <c r="K438" s="2">
        <v>0</v>
      </c>
      <c r="L438" s="2">
        <v>263.29000000000002</v>
      </c>
      <c r="M438" s="2">
        <v>706</v>
      </c>
      <c r="N438" s="2">
        <v>80</v>
      </c>
      <c r="O438" s="2">
        <v>0</v>
      </c>
      <c r="P438" s="2">
        <v>0</v>
      </c>
      <c r="Q438" s="2">
        <v>4340.45</v>
      </c>
      <c r="R438" s="2">
        <v>0</v>
      </c>
      <c r="S438" s="2">
        <v>2637808.56</v>
      </c>
      <c r="T438" s="1">
        <v>1.6454757429401926E-3</v>
      </c>
    </row>
    <row r="439" spans="1:20" x14ac:dyDescent="0.3">
      <c r="A439" s="30" t="s">
        <v>179</v>
      </c>
      <c r="B439" s="30" t="s">
        <v>20</v>
      </c>
      <c r="C439" s="30" t="s">
        <v>257</v>
      </c>
      <c r="D439">
        <v>2025</v>
      </c>
      <c r="E439">
        <v>92</v>
      </c>
      <c r="F439" s="30" t="s">
        <v>192</v>
      </c>
      <c r="G439" s="30" t="s">
        <v>29</v>
      </c>
      <c r="H439" s="30" t="s">
        <v>111</v>
      </c>
      <c r="I439" s="2">
        <v>2999.23</v>
      </c>
      <c r="J439" s="2">
        <v>2999.23</v>
      </c>
      <c r="K439" s="2">
        <v>0</v>
      </c>
      <c r="L439" s="2">
        <v>239.93</v>
      </c>
      <c r="M439" s="2">
        <v>400</v>
      </c>
      <c r="N439" s="2">
        <v>80</v>
      </c>
      <c r="O439" s="2">
        <v>0</v>
      </c>
      <c r="P439" s="2">
        <v>233.6</v>
      </c>
      <c r="Q439" s="2">
        <v>3952.76</v>
      </c>
      <c r="R439" s="2">
        <v>677.93</v>
      </c>
      <c r="S439" s="2">
        <v>1477999.27</v>
      </c>
      <c r="T439" s="1">
        <v>2.6743991558263762E-3</v>
      </c>
    </row>
    <row r="440" spans="1:20" x14ac:dyDescent="0.3">
      <c r="A440" s="30" t="s">
        <v>179</v>
      </c>
      <c r="B440" s="30" t="s">
        <v>119</v>
      </c>
      <c r="C440" s="30" t="s">
        <v>257</v>
      </c>
      <c r="D440">
        <v>2025</v>
      </c>
      <c r="E440">
        <v>86</v>
      </c>
      <c r="F440" s="30" t="s">
        <v>193</v>
      </c>
      <c r="G440" s="30" t="s">
        <v>29</v>
      </c>
      <c r="H440" s="30" t="s">
        <v>111</v>
      </c>
      <c r="I440" s="2">
        <v>2582.98</v>
      </c>
      <c r="J440" s="2">
        <v>2369.98</v>
      </c>
      <c r="K440" s="2">
        <v>0</v>
      </c>
      <c r="L440" s="2">
        <v>189.59</v>
      </c>
      <c r="M440" s="2">
        <v>400</v>
      </c>
      <c r="N440" s="2">
        <v>80</v>
      </c>
      <c r="O440" s="2">
        <v>0</v>
      </c>
      <c r="P440" s="2">
        <v>0</v>
      </c>
      <c r="Q440" s="2">
        <v>3252.57</v>
      </c>
      <c r="R440" s="2">
        <v>261.68</v>
      </c>
      <c r="S440" s="2">
        <v>2637808.56</v>
      </c>
      <c r="T440" s="1">
        <v>1.2330576408471432E-3</v>
      </c>
    </row>
    <row r="441" spans="1:20" x14ac:dyDescent="0.3">
      <c r="A441" s="30" t="s">
        <v>179</v>
      </c>
      <c r="B441" s="30" t="s">
        <v>119</v>
      </c>
      <c r="C441" s="30" t="s">
        <v>257</v>
      </c>
      <c r="D441">
        <v>2025</v>
      </c>
      <c r="E441">
        <v>102</v>
      </c>
      <c r="F441" s="30" t="s">
        <v>271</v>
      </c>
      <c r="G441" s="30" t="s">
        <v>29</v>
      </c>
      <c r="H441" s="30" t="s">
        <v>37</v>
      </c>
      <c r="I441" s="2">
        <v>650.83000000000004</v>
      </c>
      <c r="J441" s="2">
        <v>650.83000000000004</v>
      </c>
      <c r="K441" s="2">
        <v>0</v>
      </c>
      <c r="L441" s="2">
        <v>52.06</v>
      </c>
      <c r="M441" s="2">
        <v>213</v>
      </c>
      <c r="N441" s="2">
        <v>0</v>
      </c>
      <c r="O441" s="2">
        <v>0</v>
      </c>
      <c r="P441" s="2">
        <v>0</v>
      </c>
      <c r="Q441" s="2">
        <v>915.89</v>
      </c>
      <c r="R441" s="2">
        <v>30.49</v>
      </c>
      <c r="S441" s="2">
        <v>2637808.56</v>
      </c>
      <c r="T441" s="1">
        <v>3.4721625135677021E-4</v>
      </c>
    </row>
    <row r="442" spans="1:20" x14ac:dyDescent="0.3">
      <c r="A442" s="30" t="s">
        <v>179</v>
      </c>
      <c r="B442" s="30" t="s">
        <v>119</v>
      </c>
      <c r="C442" s="30" t="s">
        <v>257</v>
      </c>
      <c r="D442">
        <v>2025</v>
      </c>
      <c r="E442">
        <v>101</v>
      </c>
      <c r="F442" s="30" t="s">
        <v>272</v>
      </c>
      <c r="G442" s="30" t="s">
        <v>217</v>
      </c>
      <c r="H442" s="30" t="s">
        <v>218</v>
      </c>
      <c r="I442" s="2">
        <v>1310.48</v>
      </c>
      <c r="J442" s="2">
        <v>1026.67</v>
      </c>
      <c r="K442" s="2">
        <v>0</v>
      </c>
      <c r="L442" s="2">
        <v>82.13</v>
      </c>
      <c r="M442" s="2">
        <v>238</v>
      </c>
      <c r="N442" s="2">
        <v>0</v>
      </c>
      <c r="O442" s="2">
        <v>0</v>
      </c>
      <c r="P442" s="2">
        <v>0</v>
      </c>
      <c r="Q442" s="2">
        <v>1630.61</v>
      </c>
      <c r="R442" s="2">
        <v>59.65</v>
      </c>
      <c r="S442" s="2">
        <v>2637808.56</v>
      </c>
      <c r="T442" s="1">
        <v>6.1816843903183031E-4</v>
      </c>
    </row>
    <row r="443" spans="1:20" x14ac:dyDescent="0.3">
      <c r="A443" s="30" t="s">
        <v>179</v>
      </c>
      <c r="B443" s="30" t="s">
        <v>72</v>
      </c>
      <c r="C443" s="30" t="s">
        <v>257</v>
      </c>
      <c r="D443">
        <v>2025</v>
      </c>
      <c r="E443">
        <v>1</v>
      </c>
      <c r="F443" s="30" t="s">
        <v>194</v>
      </c>
      <c r="G443" s="30" t="s">
        <v>23</v>
      </c>
      <c r="H443" s="30" t="s">
        <v>195</v>
      </c>
      <c r="I443" s="2">
        <v>6210.06</v>
      </c>
      <c r="J443" s="2">
        <v>6210.06</v>
      </c>
      <c r="K443" s="2">
        <v>0</v>
      </c>
      <c r="L443" s="2">
        <v>496.8</v>
      </c>
      <c r="M443" s="2">
        <v>1500</v>
      </c>
      <c r="N443" s="2">
        <v>80</v>
      </c>
      <c r="O443" s="2">
        <v>122.84</v>
      </c>
      <c r="P443" s="2">
        <v>0</v>
      </c>
      <c r="Q443" s="2">
        <v>8409.7000000000007</v>
      </c>
      <c r="R443" s="2">
        <v>0</v>
      </c>
      <c r="S443" s="2">
        <v>1849662.93</v>
      </c>
      <c r="T443" s="1">
        <v>4.5466121765223464E-3</v>
      </c>
    </row>
    <row r="444" spans="1:20" x14ac:dyDescent="0.3">
      <c r="A444" s="30" t="s">
        <v>179</v>
      </c>
      <c r="B444" s="30" t="s">
        <v>119</v>
      </c>
      <c r="C444" s="30" t="s">
        <v>257</v>
      </c>
      <c r="D444">
        <v>2025</v>
      </c>
      <c r="E444">
        <v>89</v>
      </c>
      <c r="F444" s="30" t="s">
        <v>196</v>
      </c>
      <c r="G444" s="30" t="s">
        <v>33</v>
      </c>
      <c r="H444" s="30" t="s">
        <v>197</v>
      </c>
      <c r="I444" s="2">
        <v>4200</v>
      </c>
      <c r="J444" s="2">
        <v>4200</v>
      </c>
      <c r="K444" s="2">
        <v>0</v>
      </c>
      <c r="L444" s="2">
        <v>336</v>
      </c>
      <c r="M444" s="2">
        <v>906</v>
      </c>
      <c r="N444" s="2">
        <v>80</v>
      </c>
      <c r="O444" s="2">
        <v>0</v>
      </c>
      <c r="P444" s="2">
        <v>0</v>
      </c>
      <c r="Q444" s="2">
        <v>5522</v>
      </c>
      <c r="R444" s="2">
        <v>0</v>
      </c>
      <c r="S444" s="2">
        <v>2637808.56</v>
      </c>
      <c r="T444" s="1">
        <v>2.0934043826137255E-3</v>
      </c>
    </row>
    <row r="445" spans="1:20" x14ac:dyDescent="0.3">
      <c r="A445" s="30" t="s">
        <v>179</v>
      </c>
      <c r="B445" s="30" t="s">
        <v>20</v>
      </c>
      <c r="C445" s="30" t="s">
        <v>257</v>
      </c>
      <c r="D445">
        <v>2025</v>
      </c>
      <c r="E445">
        <v>44</v>
      </c>
      <c r="F445" s="30" t="s">
        <v>198</v>
      </c>
      <c r="G445" s="30" t="s">
        <v>33</v>
      </c>
      <c r="H445" s="30" t="s">
        <v>37</v>
      </c>
      <c r="I445" s="2">
        <v>3181.46</v>
      </c>
      <c r="J445" s="2">
        <v>3181.46</v>
      </c>
      <c r="K445" s="2">
        <v>0</v>
      </c>
      <c r="L445" s="2">
        <v>254.51</v>
      </c>
      <c r="M445" s="2">
        <v>500</v>
      </c>
      <c r="N445" s="2">
        <v>80</v>
      </c>
      <c r="O445" s="2">
        <v>0</v>
      </c>
      <c r="P445" s="2">
        <v>0</v>
      </c>
      <c r="Q445" s="2">
        <v>4015.97</v>
      </c>
      <c r="R445" s="2">
        <v>520.92999999999995</v>
      </c>
      <c r="S445" s="2">
        <v>1477999.27</v>
      </c>
      <c r="T445" s="1">
        <v>2.7171664299942451E-3</v>
      </c>
    </row>
    <row r="446" spans="1:20" x14ac:dyDescent="0.3">
      <c r="A446" s="30" t="s">
        <v>179</v>
      </c>
      <c r="B446" s="30" t="s">
        <v>119</v>
      </c>
      <c r="C446" s="30" t="s">
        <v>257</v>
      </c>
      <c r="D446">
        <v>2025</v>
      </c>
      <c r="E446">
        <v>85</v>
      </c>
      <c r="F446" s="30" t="s">
        <v>199</v>
      </c>
      <c r="G446" s="30" t="s">
        <v>39</v>
      </c>
      <c r="H446" s="30" t="s">
        <v>37</v>
      </c>
      <c r="I446" s="2">
        <v>3085.77</v>
      </c>
      <c r="J446" s="2">
        <v>3085.77</v>
      </c>
      <c r="K446" s="2">
        <v>0</v>
      </c>
      <c r="L446" s="2">
        <v>246.86</v>
      </c>
      <c r="M446" s="2">
        <v>806</v>
      </c>
      <c r="N446" s="2">
        <v>80</v>
      </c>
      <c r="O446" s="2">
        <v>0</v>
      </c>
      <c r="P446" s="2">
        <v>0</v>
      </c>
      <c r="Q446" s="2">
        <v>4218.63</v>
      </c>
      <c r="R446" s="2">
        <v>285.77</v>
      </c>
      <c r="S446" s="2">
        <v>2637808.56</v>
      </c>
      <c r="T446" s="1">
        <v>1.5992934680597139E-3</v>
      </c>
    </row>
    <row r="447" spans="1:20" x14ac:dyDescent="0.3">
      <c r="A447" s="30" t="s">
        <v>179</v>
      </c>
      <c r="B447" s="30" t="s">
        <v>72</v>
      </c>
      <c r="C447" s="30" t="s">
        <v>257</v>
      </c>
      <c r="D447">
        <v>2025</v>
      </c>
      <c r="E447">
        <v>14</v>
      </c>
      <c r="F447" s="30" t="s">
        <v>200</v>
      </c>
      <c r="G447" s="30" t="s">
        <v>39</v>
      </c>
      <c r="H447" s="30" t="s">
        <v>201</v>
      </c>
      <c r="I447" s="2">
        <v>4509.25</v>
      </c>
      <c r="J447" s="2">
        <v>4509.25</v>
      </c>
      <c r="K447" s="2">
        <v>0</v>
      </c>
      <c r="L447" s="2">
        <v>360.74</v>
      </c>
      <c r="M447" s="2">
        <v>706</v>
      </c>
      <c r="N447" s="2">
        <v>80</v>
      </c>
      <c r="O447" s="2">
        <v>122.84</v>
      </c>
      <c r="P447" s="2">
        <v>0</v>
      </c>
      <c r="Q447" s="2">
        <v>5778.83</v>
      </c>
      <c r="R447" s="2">
        <v>0</v>
      </c>
      <c r="S447" s="2">
        <v>1849662.93</v>
      </c>
      <c r="T447" s="1">
        <v>3.1242611322701915E-3</v>
      </c>
    </row>
    <row r="448" spans="1:20" x14ac:dyDescent="0.3">
      <c r="A448" s="30" t="s">
        <v>179</v>
      </c>
      <c r="B448" s="30" t="s">
        <v>72</v>
      </c>
      <c r="C448" s="30" t="s">
        <v>257</v>
      </c>
      <c r="D448">
        <v>2025</v>
      </c>
      <c r="E448">
        <v>66</v>
      </c>
      <c r="F448" s="30" t="s">
        <v>202</v>
      </c>
      <c r="G448" s="30" t="s">
        <v>33</v>
      </c>
      <c r="H448" s="30" t="s">
        <v>37</v>
      </c>
      <c r="I448" s="2">
        <v>2947.93</v>
      </c>
      <c r="J448" s="2">
        <v>2938.62</v>
      </c>
      <c r="K448" s="2">
        <v>0</v>
      </c>
      <c r="L448" s="2">
        <v>235.08</v>
      </c>
      <c r="M448" s="2">
        <v>500</v>
      </c>
      <c r="N448" s="2">
        <v>80</v>
      </c>
      <c r="O448" s="2">
        <v>0</v>
      </c>
      <c r="P448" s="2">
        <v>306.8</v>
      </c>
      <c r="Q448" s="2">
        <v>4069.81</v>
      </c>
      <c r="R448" s="2">
        <v>289.33</v>
      </c>
      <c r="S448" s="2">
        <v>1849662.93</v>
      </c>
      <c r="T448" s="1">
        <v>2.200298191627812E-3</v>
      </c>
    </row>
    <row r="449" spans="1:20" x14ac:dyDescent="0.3">
      <c r="A449" s="30" t="s">
        <v>179</v>
      </c>
      <c r="B449" s="30" t="s">
        <v>20</v>
      </c>
      <c r="C449" s="30" t="s">
        <v>257</v>
      </c>
      <c r="D449">
        <v>2025</v>
      </c>
      <c r="E449">
        <v>80</v>
      </c>
      <c r="F449" s="30" t="s">
        <v>203</v>
      </c>
      <c r="G449" s="30" t="s">
        <v>23</v>
      </c>
      <c r="H449" s="30" t="s">
        <v>186</v>
      </c>
      <c r="I449" s="2">
        <v>2522.33</v>
      </c>
      <c r="J449" s="2">
        <v>2516.9899999999998</v>
      </c>
      <c r="K449" s="2">
        <v>0</v>
      </c>
      <c r="L449" s="2">
        <v>201.35</v>
      </c>
      <c r="M449" s="2">
        <v>1300</v>
      </c>
      <c r="N449" s="2">
        <v>80</v>
      </c>
      <c r="O449" s="2">
        <v>0</v>
      </c>
      <c r="P449" s="2">
        <v>0</v>
      </c>
      <c r="Q449" s="2">
        <v>4103.68</v>
      </c>
      <c r="R449" s="2">
        <v>22.33</v>
      </c>
      <c r="S449" s="2">
        <v>1477999.27</v>
      </c>
      <c r="T449" s="1">
        <v>2.7765101670178768E-3</v>
      </c>
    </row>
    <row r="450" spans="1:20" x14ac:dyDescent="0.3">
      <c r="A450" s="30" t="s">
        <v>179</v>
      </c>
      <c r="B450" s="30" t="s">
        <v>119</v>
      </c>
      <c r="C450" s="30" t="s">
        <v>257</v>
      </c>
      <c r="D450">
        <v>2025</v>
      </c>
      <c r="E450">
        <v>91</v>
      </c>
      <c r="F450" s="30" t="s">
        <v>204</v>
      </c>
      <c r="G450" s="30" t="s">
        <v>33</v>
      </c>
      <c r="H450" s="30" t="s">
        <v>37</v>
      </c>
      <c r="I450" s="2">
        <v>3119.68</v>
      </c>
      <c r="J450" s="2">
        <v>3119.68</v>
      </c>
      <c r="K450" s="2">
        <v>0</v>
      </c>
      <c r="L450" s="2">
        <v>249.57</v>
      </c>
      <c r="M450" s="2">
        <v>500</v>
      </c>
      <c r="N450" s="2">
        <v>80</v>
      </c>
      <c r="O450" s="2">
        <v>0</v>
      </c>
      <c r="P450" s="2">
        <v>0</v>
      </c>
      <c r="Q450" s="2">
        <v>3949.25</v>
      </c>
      <c r="R450" s="2">
        <v>519.67999999999995</v>
      </c>
      <c r="S450" s="2">
        <v>2637808.56</v>
      </c>
      <c r="T450" s="1">
        <v>1.4971708181885648E-3</v>
      </c>
    </row>
    <row r="451" spans="1:20" x14ac:dyDescent="0.3">
      <c r="A451" s="30" t="s">
        <v>179</v>
      </c>
      <c r="B451" s="30" t="s">
        <v>72</v>
      </c>
      <c r="C451" s="30" t="s">
        <v>257</v>
      </c>
      <c r="D451">
        <v>2025</v>
      </c>
      <c r="E451">
        <v>3</v>
      </c>
      <c r="F451" s="30" t="s">
        <v>205</v>
      </c>
      <c r="G451" s="30" t="s">
        <v>33</v>
      </c>
      <c r="H451" s="30" t="s">
        <v>37</v>
      </c>
      <c r="I451" s="2">
        <v>2706.25</v>
      </c>
      <c r="J451" s="2">
        <v>2706.25</v>
      </c>
      <c r="K451" s="2">
        <v>0</v>
      </c>
      <c r="L451" s="2">
        <v>216.5</v>
      </c>
      <c r="M451" s="2">
        <v>350</v>
      </c>
      <c r="N451" s="2">
        <v>80</v>
      </c>
      <c r="O451" s="2">
        <v>122.84</v>
      </c>
      <c r="P451" s="2">
        <v>0</v>
      </c>
      <c r="Q451" s="2">
        <v>3475.59</v>
      </c>
      <c r="R451" s="2">
        <v>0</v>
      </c>
      <c r="S451" s="2">
        <v>1849662.93</v>
      </c>
      <c r="T451" s="1">
        <v>1.879039658323044E-3</v>
      </c>
    </row>
    <row r="452" spans="1:20" x14ac:dyDescent="0.3">
      <c r="A452" s="30" t="s">
        <v>179</v>
      </c>
      <c r="B452" s="30" t="s">
        <v>119</v>
      </c>
      <c r="C452" s="30" t="s">
        <v>257</v>
      </c>
      <c r="D452">
        <v>2025</v>
      </c>
      <c r="E452">
        <v>77</v>
      </c>
      <c r="F452" s="30" t="s">
        <v>206</v>
      </c>
      <c r="G452" s="30" t="s">
        <v>42</v>
      </c>
      <c r="H452" s="30" t="s">
        <v>43</v>
      </c>
      <c r="I452" s="2">
        <v>2196.83</v>
      </c>
      <c r="J452" s="2">
        <v>2169.4299999999998</v>
      </c>
      <c r="K452" s="2">
        <v>0</v>
      </c>
      <c r="L452" s="2">
        <v>173.55</v>
      </c>
      <c r="M452" s="2">
        <v>906</v>
      </c>
      <c r="N452" s="2">
        <v>80</v>
      </c>
      <c r="O452" s="2">
        <v>122.84</v>
      </c>
      <c r="P452" s="2">
        <v>0</v>
      </c>
      <c r="Q452" s="2">
        <v>3479.22</v>
      </c>
      <c r="R452" s="2">
        <v>132.13</v>
      </c>
      <c r="S452" s="2">
        <v>2637808.56</v>
      </c>
      <c r="T452" s="1">
        <v>1.318981237971265E-3</v>
      </c>
    </row>
    <row r="453" spans="1:20" x14ac:dyDescent="0.3">
      <c r="A453" s="30" t="s">
        <v>179</v>
      </c>
      <c r="B453" s="30" t="s">
        <v>20</v>
      </c>
      <c r="C453" s="30" t="s">
        <v>257</v>
      </c>
      <c r="D453">
        <v>2025</v>
      </c>
      <c r="E453">
        <v>39</v>
      </c>
      <c r="F453" s="30" t="s">
        <v>207</v>
      </c>
      <c r="G453" s="30" t="s">
        <v>29</v>
      </c>
      <c r="H453" s="30" t="s">
        <v>111</v>
      </c>
      <c r="I453" s="2">
        <v>3210.1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122.84</v>
      </c>
      <c r="P453" s="2">
        <v>0</v>
      </c>
      <c r="Q453" s="2">
        <v>3332.94</v>
      </c>
      <c r="R453" s="2">
        <v>0</v>
      </c>
      <c r="S453" s="2">
        <v>1477999.27</v>
      </c>
      <c r="T453" s="1">
        <v>2.2550349432851886E-3</v>
      </c>
    </row>
    <row r="454" spans="1:20" x14ac:dyDescent="0.3">
      <c r="A454" s="30" t="s">
        <v>179</v>
      </c>
      <c r="B454" s="30" t="s">
        <v>72</v>
      </c>
      <c r="C454" s="30" t="s">
        <v>257</v>
      </c>
      <c r="D454">
        <v>2025</v>
      </c>
      <c r="E454">
        <v>4</v>
      </c>
      <c r="F454" s="30" t="s">
        <v>208</v>
      </c>
      <c r="G454" s="30" t="s">
        <v>23</v>
      </c>
      <c r="H454" s="30" t="s">
        <v>209</v>
      </c>
      <c r="I454" s="2">
        <v>4054.18</v>
      </c>
      <c r="J454" s="2">
        <v>4054.18</v>
      </c>
      <c r="K454" s="2">
        <v>0</v>
      </c>
      <c r="L454" s="2">
        <v>324.33</v>
      </c>
      <c r="M454" s="2">
        <v>706</v>
      </c>
      <c r="N454" s="2">
        <v>80</v>
      </c>
      <c r="O454" s="2">
        <v>122.84</v>
      </c>
      <c r="P454" s="2">
        <v>0</v>
      </c>
      <c r="Q454" s="2">
        <v>5287.35</v>
      </c>
      <c r="R454" s="2">
        <v>200.5</v>
      </c>
      <c r="S454" s="2">
        <v>1849662.93</v>
      </c>
      <c r="T454" s="1">
        <v>2.8585478544461071E-3</v>
      </c>
    </row>
    <row r="455" spans="1:20" x14ac:dyDescent="0.3">
      <c r="A455" s="30" t="s">
        <v>179</v>
      </c>
      <c r="B455" s="30" t="s">
        <v>72</v>
      </c>
      <c r="C455" s="30" t="s">
        <v>257</v>
      </c>
      <c r="D455">
        <v>2025</v>
      </c>
      <c r="E455">
        <v>71</v>
      </c>
      <c r="F455" s="30" t="s">
        <v>210</v>
      </c>
      <c r="G455" s="30" t="s">
        <v>29</v>
      </c>
      <c r="H455" s="30" t="s">
        <v>111</v>
      </c>
      <c r="I455" s="2">
        <v>6202.78</v>
      </c>
      <c r="J455" s="2">
        <v>3002.02</v>
      </c>
      <c r="K455" s="2">
        <v>0</v>
      </c>
      <c r="L455" s="2">
        <v>336.21</v>
      </c>
      <c r="M455" s="2">
        <v>400</v>
      </c>
      <c r="N455" s="2">
        <v>80</v>
      </c>
      <c r="O455" s="2">
        <v>122.84</v>
      </c>
      <c r="P455" s="2">
        <v>0</v>
      </c>
      <c r="Q455" s="2">
        <v>7141.83</v>
      </c>
      <c r="R455" s="2">
        <v>207.8</v>
      </c>
      <c r="S455" s="2">
        <v>1849662.93</v>
      </c>
      <c r="T455" s="1">
        <v>3.8611521505704832E-3</v>
      </c>
    </row>
    <row r="456" spans="1:20" x14ac:dyDescent="0.3">
      <c r="A456" s="30" t="s">
        <v>179</v>
      </c>
      <c r="B456" s="30" t="s">
        <v>119</v>
      </c>
      <c r="C456" s="30" t="s">
        <v>257</v>
      </c>
      <c r="D456">
        <v>2025</v>
      </c>
      <c r="E456">
        <v>93</v>
      </c>
      <c r="F456" s="30" t="s">
        <v>211</v>
      </c>
      <c r="G456" s="30" t="s">
        <v>23</v>
      </c>
      <c r="H456" s="30" t="s">
        <v>212</v>
      </c>
      <c r="I456" s="2">
        <v>6720</v>
      </c>
      <c r="J456" s="2">
        <v>6720</v>
      </c>
      <c r="K456" s="2">
        <v>0</v>
      </c>
      <c r="L456" s="2">
        <v>537.6</v>
      </c>
      <c r="M456" s="2">
        <v>2034</v>
      </c>
      <c r="N456" s="2">
        <v>80</v>
      </c>
      <c r="O456" s="2">
        <v>737.07</v>
      </c>
      <c r="P456" s="2">
        <v>0</v>
      </c>
      <c r="Q456" s="2">
        <v>10108.67</v>
      </c>
      <c r="R456" s="2">
        <v>0</v>
      </c>
      <c r="S456" s="2">
        <v>2637808.56</v>
      </c>
      <c r="T456" s="1">
        <v>3.8322227599413058E-3</v>
      </c>
    </row>
    <row r="457" spans="1:20" x14ac:dyDescent="0.3">
      <c r="A457" s="30" t="s">
        <v>179</v>
      </c>
      <c r="B457" s="30" t="s">
        <v>119</v>
      </c>
      <c r="C457" s="30" t="s">
        <v>257</v>
      </c>
      <c r="D457">
        <v>2025</v>
      </c>
      <c r="E457">
        <v>82</v>
      </c>
      <c r="F457" s="30" t="s">
        <v>213</v>
      </c>
      <c r="G457" s="30" t="s">
        <v>23</v>
      </c>
      <c r="H457" s="30" t="s">
        <v>24</v>
      </c>
      <c r="I457" s="2">
        <v>2560.83</v>
      </c>
      <c r="J457" s="2">
        <v>2560.83</v>
      </c>
      <c r="K457" s="2">
        <v>0</v>
      </c>
      <c r="L457" s="2">
        <v>204.86</v>
      </c>
      <c r="M457" s="2">
        <v>400</v>
      </c>
      <c r="N457" s="2">
        <v>80</v>
      </c>
      <c r="O457" s="2">
        <v>0</v>
      </c>
      <c r="P457" s="2">
        <v>0</v>
      </c>
      <c r="Q457" s="2">
        <v>3245.69</v>
      </c>
      <c r="R457" s="2">
        <v>239.53</v>
      </c>
      <c r="S457" s="2">
        <v>2637808.56</v>
      </c>
      <c r="T457" s="1">
        <v>1.2304494151766647E-3</v>
      </c>
    </row>
    <row r="458" spans="1:20" x14ac:dyDescent="0.3">
      <c r="A458" s="30" t="s">
        <v>179</v>
      </c>
      <c r="B458" s="30" t="s">
        <v>72</v>
      </c>
      <c r="C458" s="30" t="s">
        <v>257</v>
      </c>
      <c r="D458">
        <v>2025</v>
      </c>
      <c r="E458">
        <v>87</v>
      </c>
      <c r="F458" s="30" t="s">
        <v>214</v>
      </c>
      <c r="G458" s="30" t="s">
        <v>23</v>
      </c>
      <c r="H458" s="30" t="s">
        <v>24</v>
      </c>
      <c r="I458" s="2">
        <v>2550.77</v>
      </c>
      <c r="J458" s="2">
        <v>2550.77</v>
      </c>
      <c r="K458" s="2">
        <v>0</v>
      </c>
      <c r="L458" s="2">
        <v>204.06</v>
      </c>
      <c r="M458" s="2">
        <v>400</v>
      </c>
      <c r="N458" s="2">
        <v>80</v>
      </c>
      <c r="O458" s="2">
        <v>0</v>
      </c>
      <c r="P458" s="2">
        <v>306.8</v>
      </c>
      <c r="Q458" s="2">
        <v>3541.63</v>
      </c>
      <c r="R458" s="2">
        <v>229.47</v>
      </c>
      <c r="S458" s="2">
        <v>1849662.93</v>
      </c>
      <c r="T458" s="1">
        <v>1.9147434608531625E-3</v>
      </c>
    </row>
    <row r="459" spans="1:20" x14ac:dyDescent="0.3">
      <c r="A459" s="30" t="s">
        <v>179</v>
      </c>
      <c r="B459" s="30" t="s">
        <v>119</v>
      </c>
      <c r="C459" s="30" t="s">
        <v>257</v>
      </c>
      <c r="D459">
        <v>2025</v>
      </c>
      <c r="E459">
        <v>8</v>
      </c>
      <c r="F459" s="30" t="s">
        <v>215</v>
      </c>
      <c r="G459" s="30" t="s">
        <v>39</v>
      </c>
      <c r="H459" s="30" t="s">
        <v>55</v>
      </c>
      <c r="I459" s="2">
        <v>2760.85</v>
      </c>
      <c r="J459" s="2">
        <v>2760.85</v>
      </c>
      <c r="K459" s="2">
        <v>0</v>
      </c>
      <c r="L459" s="2">
        <v>220.86</v>
      </c>
      <c r="M459" s="2">
        <v>706</v>
      </c>
      <c r="N459" s="2">
        <v>0</v>
      </c>
      <c r="O459" s="2">
        <v>122.84</v>
      </c>
      <c r="P459" s="2">
        <v>0</v>
      </c>
      <c r="Q459" s="2">
        <v>3810.55</v>
      </c>
      <c r="R459" s="2">
        <v>140.41</v>
      </c>
      <c r="S459" s="2">
        <v>2637808.56</v>
      </c>
      <c r="T459" s="1">
        <v>1.4445892919537724E-3</v>
      </c>
    </row>
    <row r="460" spans="1:20" x14ac:dyDescent="0.3">
      <c r="A460" s="30" t="s">
        <v>179</v>
      </c>
      <c r="B460" s="30" t="s">
        <v>72</v>
      </c>
      <c r="C460" s="30" t="s">
        <v>257</v>
      </c>
      <c r="D460">
        <v>2025</v>
      </c>
      <c r="E460">
        <v>30</v>
      </c>
      <c r="F460" s="30" t="s">
        <v>216</v>
      </c>
      <c r="G460" s="30" t="s">
        <v>217</v>
      </c>
      <c r="H460" s="30" t="s">
        <v>218</v>
      </c>
      <c r="I460" s="2">
        <v>2414.37</v>
      </c>
      <c r="J460" s="2">
        <v>2414.37</v>
      </c>
      <c r="K460" s="2">
        <v>0</v>
      </c>
      <c r="L460" s="2">
        <v>193.14</v>
      </c>
      <c r="M460" s="2">
        <v>0</v>
      </c>
      <c r="N460" s="2">
        <v>0</v>
      </c>
      <c r="O460" s="2">
        <v>122.84</v>
      </c>
      <c r="P460" s="2">
        <v>0</v>
      </c>
      <c r="Q460" s="2">
        <v>2730.35</v>
      </c>
      <c r="R460" s="2">
        <v>0</v>
      </c>
      <c r="S460" s="2">
        <v>1849662.93</v>
      </c>
      <c r="T460" s="1">
        <v>1.4761338164462211E-3</v>
      </c>
    </row>
    <row r="461" spans="1:20" x14ac:dyDescent="0.3">
      <c r="A461" s="30" t="s">
        <v>179</v>
      </c>
      <c r="B461" s="30" t="s">
        <v>72</v>
      </c>
      <c r="C461" s="30" t="s">
        <v>257</v>
      </c>
      <c r="D461">
        <v>2025</v>
      </c>
      <c r="E461">
        <v>95</v>
      </c>
      <c r="F461" s="30" t="s">
        <v>220</v>
      </c>
      <c r="G461" s="30" t="s">
        <v>33</v>
      </c>
      <c r="H461" s="30" t="s">
        <v>221</v>
      </c>
      <c r="I461" s="2">
        <v>2113.94</v>
      </c>
      <c r="J461" s="2">
        <v>2077.39</v>
      </c>
      <c r="K461" s="2">
        <v>0</v>
      </c>
      <c r="L461" s="2">
        <v>166.19</v>
      </c>
      <c r="M461" s="2">
        <v>1070</v>
      </c>
      <c r="N461" s="2">
        <v>80</v>
      </c>
      <c r="O461" s="2">
        <v>0</v>
      </c>
      <c r="P461" s="2">
        <v>0</v>
      </c>
      <c r="Q461" s="2">
        <v>3430.13</v>
      </c>
      <c r="R461" s="2">
        <v>113.94</v>
      </c>
      <c r="S461" s="2">
        <v>1849662.93</v>
      </c>
      <c r="T461" s="1">
        <v>1.8544622073385017E-3</v>
      </c>
    </row>
    <row r="462" spans="1:20" x14ac:dyDescent="0.3">
      <c r="A462" s="30" t="s">
        <v>179</v>
      </c>
      <c r="B462" s="30" t="s">
        <v>20</v>
      </c>
      <c r="C462" s="30" t="s">
        <v>257</v>
      </c>
      <c r="D462">
        <v>2025</v>
      </c>
      <c r="E462">
        <v>100</v>
      </c>
      <c r="F462" s="30" t="s">
        <v>223</v>
      </c>
      <c r="G462" s="30" t="s">
        <v>23</v>
      </c>
      <c r="H462" s="30" t="s">
        <v>224</v>
      </c>
      <c r="I462" s="2">
        <v>1939.33</v>
      </c>
      <c r="J462" s="2">
        <v>1939.33</v>
      </c>
      <c r="K462" s="2">
        <v>0</v>
      </c>
      <c r="L462" s="2">
        <v>155.13999999999999</v>
      </c>
      <c r="M462" s="2">
        <v>800</v>
      </c>
      <c r="N462" s="2">
        <v>80</v>
      </c>
      <c r="O462" s="2">
        <v>122.84</v>
      </c>
      <c r="P462" s="2">
        <v>0</v>
      </c>
      <c r="Q462" s="2">
        <v>3097.31</v>
      </c>
      <c r="R462" s="2">
        <v>166.93</v>
      </c>
      <c r="S462" s="2">
        <v>1477999.27</v>
      </c>
      <c r="T462" s="1">
        <v>2.0956099660319858E-3</v>
      </c>
    </row>
    <row r="463" spans="1:20" x14ac:dyDescent="0.3">
      <c r="A463" s="30" t="s">
        <v>179</v>
      </c>
      <c r="B463" s="30" t="s">
        <v>72</v>
      </c>
      <c r="C463" s="30" t="s">
        <v>257</v>
      </c>
      <c r="D463">
        <v>2025</v>
      </c>
      <c r="E463" t="s">
        <v>225</v>
      </c>
      <c r="F463" s="30" t="s">
        <v>226</v>
      </c>
      <c r="G463" s="30" t="s">
        <v>33</v>
      </c>
      <c r="H463" s="30" t="s">
        <v>37</v>
      </c>
      <c r="I463" s="2">
        <v>2658.6</v>
      </c>
      <c r="J463" s="2">
        <v>0</v>
      </c>
      <c r="K463" s="2">
        <v>0</v>
      </c>
      <c r="L463" s="2">
        <v>0</v>
      </c>
      <c r="M463" s="2">
        <v>806</v>
      </c>
      <c r="N463" s="2">
        <v>80</v>
      </c>
      <c r="O463" s="2">
        <v>0</v>
      </c>
      <c r="P463" s="2">
        <v>0</v>
      </c>
      <c r="Q463" s="2">
        <v>3544.6</v>
      </c>
      <c r="R463" s="2">
        <v>0</v>
      </c>
      <c r="S463" s="2">
        <v>1849662.93</v>
      </c>
      <c r="T463" s="1">
        <v>1.9163491588167364E-3</v>
      </c>
    </row>
    <row r="464" spans="1:20" x14ac:dyDescent="0.3">
      <c r="A464" s="30" t="s">
        <v>179</v>
      </c>
      <c r="B464" s="30" t="s">
        <v>72</v>
      </c>
      <c r="C464" s="30" t="s">
        <v>257</v>
      </c>
      <c r="D464">
        <v>2025</v>
      </c>
      <c r="E464" t="s">
        <v>227</v>
      </c>
      <c r="F464" s="30" t="s">
        <v>228</v>
      </c>
      <c r="G464" s="30" t="s">
        <v>217</v>
      </c>
      <c r="H464" s="30" t="s">
        <v>229</v>
      </c>
      <c r="I464" s="2">
        <v>2329.37</v>
      </c>
      <c r="J464" s="2">
        <v>0</v>
      </c>
      <c r="K464" s="2">
        <v>0</v>
      </c>
      <c r="L464" s="2">
        <v>0</v>
      </c>
      <c r="M464" s="2">
        <v>706</v>
      </c>
      <c r="N464" s="2">
        <v>0</v>
      </c>
      <c r="O464" s="2">
        <v>0</v>
      </c>
      <c r="P464" s="2">
        <v>0</v>
      </c>
      <c r="Q464" s="2">
        <v>3035.37</v>
      </c>
      <c r="R464" s="2">
        <v>0</v>
      </c>
      <c r="S464" s="2">
        <v>1849662.93</v>
      </c>
      <c r="T464" s="1">
        <v>1.6410395379443539E-3</v>
      </c>
    </row>
    <row r="465" spans="1:20" x14ac:dyDescent="0.3">
      <c r="A465" s="30" t="s">
        <v>179</v>
      </c>
      <c r="B465" s="30" t="s">
        <v>119</v>
      </c>
      <c r="C465" s="30" t="s">
        <v>257</v>
      </c>
      <c r="D465">
        <v>2025</v>
      </c>
      <c r="E465">
        <v>98</v>
      </c>
      <c r="F465" s="30" t="s">
        <v>230</v>
      </c>
      <c r="G465" s="30" t="s">
        <v>23</v>
      </c>
      <c r="H465" s="30" t="s">
        <v>186</v>
      </c>
      <c r="I465" s="2">
        <v>4339.25</v>
      </c>
      <c r="J465" s="2">
        <v>4339.25</v>
      </c>
      <c r="K465" s="2">
        <v>0</v>
      </c>
      <c r="L465" s="2">
        <v>347.14</v>
      </c>
      <c r="M465" s="2">
        <v>566</v>
      </c>
      <c r="N465" s="2">
        <v>80</v>
      </c>
      <c r="O465" s="2">
        <v>122.84</v>
      </c>
      <c r="P465" s="2">
        <v>0</v>
      </c>
      <c r="Q465" s="2">
        <v>5455.23</v>
      </c>
      <c r="R465" s="2">
        <v>0</v>
      </c>
      <c r="S465" s="2">
        <v>2637808.56</v>
      </c>
      <c r="T465" s="1">
        <v>2.0680917041227586E-3</v>
      </c>
    </row>
    <row r="466" spans="1:20" x14ac:dyDescent="0.3">
      <c r="A466" s="30" t="s">
        <v>179</v>
      </c>
      <c r="B466" s="30" t="s">
        <v>119</v>
      </c>
      <c r="C466" s="30" t="s">
        <v>257</v>
      </c>
      <c r="D466">
        <v>2025</v>
      </c>
      <c r="E466">
        <v>97</v>
      </c>
      <c r="F466" s="30" t="s">
        <v>231</v>
      </c>
      <c r="G466" s="30" t="s">
        <v>42</v>
      </c>
      <c r="H466" s="30" t="s">
        <v>232</v>
      </c>
      <c r="I466" s="2">
        <v>1214.6199999999999</v>
      </c>
      <c r="J466" s="2">
        <v>131.66999999999999</v>
      </c>
      <c r="K466" s="2">
        <v>0</v>
      </c>
      <c r="L466" s="2">
        <v>10.53</v>
      </c>
      <c r="M466" s="2">
        <v>98</v>
      </c>
      <c r="N466" s="2">
        <v>0</v>
      </c>
      <c r="O466" s="2">
        <v>0</v>
      </c>
      <c r="P466" s="2">
        <v>0</v>
      </c>
      <c r="Q466" s="2">
        <v>1323.15</v>
      </c>
      <c r="R466" s="2">
        <v>0</v>
      </c>
      <c r="S466" s="2">
        <v>2637808.56</v>
      </c>
      <c r="T466" s="1">
        <v>5.0160956335663714E-4</v>
      </c>
    </row>
    <row r="467" spans="1:20" x14ac:dyDescent="0.3">
      <c r="A467" s="30" t="s">
        <v>179</v>
      </c>
      <c r="B467" s="30" t="s">
        <v>20</v>
      </c>
      <c r="C467" s="30" t="s">
        <v>257</v>
      </c>
      <c r="D467">
        <v>2025</v>
      </c>
      <c r="E467">
        <v>99</v>
      </c>
      <c r="F467" s="30" t="s">
        <v>233</v>
      </c>
      <c r="G467" s="30" t="s">
        <v>42</v>
      </c>
      <c r="H467" s="30" t="s">
        <v>232</v>
      </c>
      <c r="I467" s="2">
        <v>2182.7399999999998</v>
      </c>
      <c r="J467" s="2">
        <v>2180.0500000000002</v>
      </c>
      <c r="K467" s="2">
        <v>0</v>
      </c>
      <c r="L467" s="2">
        <v>174.4</v>
      </c>
      <c r="M467" s="2">
        <v>462</v>
      </c>
      <c r="N467" s="2">
        <v>80</v>
      </c>
      <c r="O467" s="2">
        <v>0</v>
      </c>
      <c r="P467" s="2">
        <v>306.8</v>
      </c>
      <c r="Q467" s="2">
        <v>3205.94</v>
      </c>
      <c r="R467" s="2">
        <v>207.74</v>
      </c>
      <c r="S467" s="2">
        <v>1477999.27</v>
      </c>
      <c r="T467" s="1">
        <v>2.1691079725634772E-3</v>
      </c>
    </row>
    <row r="468" spans="1:20" x14ac:dyDescent="0.3">
      <c r="A468" s="30" t="s">
        <v>179</v>
      </c>
      <c r="B468" s="30" t="s">
        <v>72</v>
      </c>
      <c r="C468" s="30" t="s">
        <v>273</v>
      </c>
      <c r="D468">
        <v>2025</v>
      </c>
      <c r="E468">
        <v>90</v>
      </c>
      <c r="F468" s="30" t="s">
        <v>180</v>
      </c>
      <c r="G468" s="30" t="s">
        <v>33</v>
      </c>
      <c r="H468" s="30" t="s">
        <v>181</v>
      </c>
      <c r="I468" s="2">
        <v>3036.4</v>
      </c>
      <c r="J468" s="2">
        <v>3036.4</v>
      </c>
      <c r="K468" s="2">
        <v>0</v>
      </c>
      <c r="L468" s="2">
        <v>242.91</v>
      </c>
      <c r="M468" s="2">
        <v>700</v>
      </c>
      <c r="N468" s="2">
        <v>80</v>
      </c>
      <c r="Q468" s="2">
        <v>4059.31</v>
      </c>
      <c r="R468" s="2">
        <v>836.4</v>
      </c>
      <c r="S468" s="2">
        <v>1812293.64</v>
      </c>
      <c r="T468" s="1">
        <v>2.2398743285332061E-3</v>
      </c>
    </row>
    <row r="469" spans="1:20" x14ac:dyDescent="0.3">
      <c r="A469" s="30" t="s">
        <v>179</v>
      </c>
      <c r="B469" s="30" t="s">
        <v>119</v>
      </c>
      <c r="C469" s="30" t="s">
        <v>273</v>
      </c>
      <c r="D469">
        <v>2025</v>
      </c>
      <c r="E469">
        <v>75</v>
      </c>
      <c r="F469" s="30" t="s">
        <v>182</v>
      </c>
      <c r="G469" s="30" t="s">
        <v>39</v>
      </c>
      <c r="H469" s="30" t="s">
        <v>57</v>
      </c>
      <c r="I469" s="2">
        <v>2832.31</v>
      </c>
      <c r="J469" s="2">
        <v>2744.88</v>
      </c>
      <c r="K469" s="2">
        <v>0</v>
      </c>
      <c r="L469" s="2">
        <v>219.59</v>
      </c>
      <c r="M469" s="2">
        <v>643</v>
      </c>
      <c r="N469" s="2">
        <v>80</v>
      </c>
      <c r="Q469" s="2">
        <v>3774.9</v>
      </c>
      <c r="R469" s="2">
        <v>406.81</v>
      </c>
      <c r="S469" s="2">
        <v>2559361.83</v>
      </c>
      <c r="T469" s="1">
        <v>1.4749379926479564E-3</v>
      </c>
    </row>
    <row r="470" spans="1:20" x14ac:dyDescent="0.3">
      <c r="A470" s="30" t="s">
        <v>179</v>
      </c>
      <c r="B470" s="30" t="s">
        <v>119</v>
      </c>
      <c r="C470" s="30" t="s">
        <v>273</v>
      </c>
      <c r="D470">
        <v>2025</v>
      </c>
      <c r="E470">
        <v>63</v>
      </c>
      <c r="F470" s="30" t="s">
        <v>183</v>
      </c>
      <c r="G470" s="30" t="s">
        <v>33</v>
      </c>
      <c r="H470" s="30" t="s">
        <v>37</v>
      </c>
      <c r="I470" s="2">
        <v>5307.43</v>
      </c>
      <c r="J470" s="2">
        <v>3921.88</v>
      </c>
      <c r="K470" s="2">
        <v>0</v>
      </c>
      <c r="L470" s="2">
        <v>313.75</v>
      </c>
      <c r="O470" s="2">
        <v>122.84</v>
      </c>
      <c r="Q470" s="2">
        <v>5744.02</v>
      </c>
      <c r="R470" s="2">
        <v>254.9</v>
      </c>
      <c r="S470" s="2">
        <v>2559361.83</v>
      </c>
      <c r="T470" s="1">
        <v>2.2443172874856854E-3</v>
      </c>
    </row>
    <row r="471" spans="1:20" x14ac:dyDescent="0.3">
      <c r="A471" s="30" t="s">
        <v>179</v>
      </c>
      <c r="B471" s="30" t="s">
        <v>20</v>
      </c>
      <c r="C471" s="30" t="s">
        <v>273</v>
      </c>
      <c r="D471">
        <v>2025</v>
      </c>
      <c r="E471">
        <v>900000</v>
      </c>
      <c r="F471" s="30" t="s">
        <v>184</v>
      </c>
      <c r="G471" s="30" t="s">
        <v>76</v>
      </c>
      <c r="H471" s="30" t="s">
        <v>76</v>
      </c>
      <c r="I471" s="2">
        <v>2824</v>
      </c>
      <c r="J471" s="2">
        <v>2824</v>
      </c>
      <c r="K471" s="2">
        <v>0</v>
      </c>
      <c r="L471" s="2">
        <v>0</v>
      </c>
      <c r="Q471" s="2">
        <v>2824</v>
      </c>
      <c r="R471" s="2">
        <v>0</v>
      </c>
      <c r="S471" s="2">
        <v>1519761.37</v>
      </c>
      <c r="T471" s="1">
        <v>1.8581864598913973E-3</v>
      </c>
    </row>
    <row r="472" spans="1:20" x14ac:dyDescent="0.3">
      <c r="A472" s="30" t="s">
        <v>179</v>
      </c>
      <c r="B472" s="30" t="s">
        <v>119</v>
      </c>
      <c r="C472" s="30" t="s">
        <v>273</v>
      </c>
      <c r="D472">
        <v>2025</v>
      </c>
      <c r="E472">
        <v>88</v>
      </c>
      <c r="F472" s="30" t="s">
        <v>185</v>
      </c>
      <c r="G472" s="30" t="s">
        <v>23</v>
      </c>
      <c r="H472" s="30" t="s">
        <v>186</v>
      </c>
      <c r="I472" s="2">
        <v>2648.41</v>
      </c>
      <c r="J472" s="2">
        <v>2648.41</v>
      </c>
      <c r="K472" s="2">
        <v>0</v>
      </c>
      <c r="L472" s="2">
        <v>211.87</v>
      </c>
      <c r="M472" s="2">
        <v>1301</v>
      </c>
      <c r="O472" s="2">
        <v>122.84</v>
      </c>
      <c r="Q472" s="2">
        <v>4284.12</v>
      </c>
      <c r="R472" s="2">
        <v>148.41</v>
      </c>
      <c r="S472" s="2">
        <v>2559361.83</v>
      </c>
      <c r="T472" s="1">
        <v>1.6739016538353231E-3</v>
      </c>
    </row>
    <row r="473" spans="1:20" x14ac:dyDescent="0.3">
      <c r="A473" s="30" t="s">
        <v>179</v>
      </c>
      <c r="B473" s="30" t="s">
        <v>119</v>
      </c>
      <c r="C473" s="30" t="s">
        <v>273</v>
      </c>
      <c r="D473">
        <v>2025</v>
      </c>
      <c r="E473">
        <v>84</v>
      </c>
      <c r="F473" s="30" t="s">
        <v>187</v>
      </c>
      <c r="G473" s="30" t="s">
        <v>26</v>
      </c>
      <c r="H473" s="30" t="s">
        <v>188</v>
      </c>
      <c r="I473" s="2">
        <v>3436.64</v>
      </c>
      <c r="J473" s="2">
        <v>3436.64</v>
      </c>
      <c r="K473" s="2">
        <v>0</v>
      </c>
      <c r="L473" s="2">
        <v>274.93</v>
      </c>
      <c r="M473" s="2">
        <v>707</v>
      </c>
      <c r="N473" s="2">
        <v>80</v>
      </c>
      <c r="Q473" s="2">
        <v>4498.57</v>
      </c>
      <c r="R473" s="2">
        <v>936.64</v>
      </c>
      <c r="S473" s="2">
        <v>2559361.83</v>
      </c>
      <c r="T473" s="1">
        <v>1.7576920727930055E-3</v>
      </c>
    </row>
    <row r="474" spans="1:20" x14ac:dyDescent="0.3">
      <c r="A474" s="30" t="s">
        <v>179</v>
      </c>
      <c r="B474" s="30" t="s">
        <v>20</v>
      </c>
      <c r="C474" s="30" t="s">
        <v>273</v>
      </c>
      <c r="D474">
        <v>2025</v>
      </c>
      <c r="E474">
        <v>51</v>
      </c>
      <c r="F474" s="30" t="s">
        <v>189</v>
      </c>
      <c r="G474" s="30" t="s">
        <v>33</v>
      </c>
      <c r="H474" s="30" t="s">
        <v>37</v>
      </c>
      <c r="I474" s="2">
        <v>3680.93</v>
      </c>
      <c r="J474" s="2">
        <v>3680.93</v>
      </c>
      <c r="K474" s="2">
        <v>0</v>
      </c>
      <c r="L474" s="2">
        <v>294.47000000000003</v>
      </c>
      <c r="M474" s="2">
        <v>807</v>
      </c>
      <c r="Q474" s="2">
        <v>4782.3999999999996</v>
      </c>
      <c r="R474" s="2">
        <v>970.06</v>
      </c>
      <c r="S474" s="2">
        <v>1519761.37</v>
      </c>
      <c r="T474" s="1">
        <v>3.1468098179123997E-3</v>
      </c>
    </row>
    <row r="475" spans="1:20" x14ac:dyDescent="0.3">
      <c r="A475" s="30" t="s">
        <v>179</v>
      </c>
      <c r="B475" s="30" t="s">
        <v>20</v>
      </c>
      <c r="C475" s="30" t="s">
        <v>273</v>
      </c>
      <c r="D475">
        <v>2025</v>
      </c>
      <c r="E475">
        <v>104</v>
      </c>
      <c r="F475" s="30" t="s">
        <v>289</v>
      </c>
      <c r="G475" s="30" t="s">
        <v>42</v>
      </c>
      <c r="H475" s="30" t="s">
        <v>232</v>
      </c>
      <c r="I475" s="2">
        <v>2216.63</v>
      </c>
      <c r="J475" s="2">
        <v>2216.63</v>
      </c>
      <c r="K475" s="2">
        <v>0</v>
      </c>
      <c r="L475" s="2">
        <v>177.33</v>
      </c>
      <c r="M475" s="2">
        <v>378</v>
      </c>
      <c r="P475" s="2">
        <v>306.8</v>
      </c>
      <c r="Q475" s="2">
        <v>3078.76</v>
      </c>
      <c r="R475" s="2">
        <v>373.3</v>
      </c>
      <c r="S475" s="2">
        <v>1519761.37</v>
      </c>
      <c r="T475" s="1">
        <v>2.025818040104546E-3</v>
      </c>
    </row>
    <row r="476" spans="1:20" x14ac:dyDescent="0.3">
      <c r="A476" s="30" t="s">
        <v>179</v>
      </c>
      <c r="B476" s="30" t="s">
        <v>20</v>
      </c>
      <c r="C476" s="30" t="s">
        <v>273</v>
      </c>
      <c r="D476">
        <v>2025</v>
      </c>
      <c r="E476">
        <v>94</v>
      </c>
      <c r="F476" s="30" t="s">
        <v>190</v>
      </c>
      <c r="G476" s="30" t="s">
        <v>33</v>
      </c>
      <c r="H476" s="30" t="s">
        <v>37</v>
      </c>
      <c r="I476" s="2">
        <v>3216.6</v>
      </c>
      <c r="J476" s="2">
        <v>3216.6</v>
      </c>
      <c r="K476" s="2">
        <v>0</v>
      </c>
      <c r="L476" s="2">
        <v>257.32</v>
      </c>
      <c r="M476" s="2">
        <v>500</v>
      </c>
      <c r="N476" s="2">
        <v>80</v>
      </c>
      <c r="Q476" s="2">
        <v>4053.92</v>
      </c>
      <c r="R476" s="2">
        <v>558</v>
      </c>
      <c r="S476" s="2">
        <v>1519761.37</v>
      </c>
      <c r="T476" s="1">
        <v>2.6674714070406987E-3</v>
      </c>
    </row>
    <row r="477" spans="1:20" x14ac:dyDescent="0.3">
      <c r="A477" s="30" t="s">
        <v>179</v>
      </c>
      <c r="B477" s="30" t="s">
        <v>119</v>
      </c>
      <c r="C477" s="30" t="s">
        <v>273</v>
      </c>
      <c r="D477">
        <v>2025</v>
      </c>
      <c r="E477">
        <v>24</v>
      </c>
      <c r="F477" s="30" t="s">
        <v>191</v>
      </c>
      <c r="G477" s="30" t="s">
        <v>23</v>
      </c>
      <c r="H477" s="30" t="s">
        <v>290</v>
      </c>
      <c r="I477" s="2">
        <v>3565.3</v>
      </c>
      <c r="J477" s="2">
        <v>3565.3</v>
      </c>
      <c r="K477" s="2">
        <v>0</v>
      </c>
      <c r="L477" s="2">
        <v>285.22000000000003</v>
      </c>
      <c r="M477" s="2">
        <v>707</v>
      </c>
      <c r="N477" s="2">
        <v>80</v>
      </c>
      <c r="Q477" s="2">
        <v>4637.5200000000004</v>
      </c>
      <c r="R477" s="2">
        <v>274.14</v>
      </c>
      <c r="S477" s="2">
        <v>2559361.83</v>
      </c>
      <c r="T477" s="1">
        <v>1.8119829504529264E-3</v>
      </c>
    </row>
    <row r="478" spans="1:20" x14ac:dyDescent="0.3">
      <c r="A478" s="30" t="s">
        <v>179</v>
      </c>
      <c r="B478" s="30" t="s">
        <v>20</v>
      </c>
      <c r="C478" s="30" t="s">
        <v>273</v>
      </c>
      <c r="D478">
        <v>2025</v>
      </c>
      <c r="E478">
        <v>92</v>
      </c>
      <c r="F478" s="30" t="s">
        <v>192</v>
      </c>
      <c r="G478" s="30" t="s">
        <v>29</v>
      </c>
      <c r="H478" s="30" t="s">
        <v>111</v>
      </c>
      <c r="I478" s="2">
        <v>3137.61</v>
      </c>
      <c r="J478" s="2">
        <v>3137.61</v>
      </c>
      <c r="K478" s="2">
        <v>0</v>
      </c>
      <c r="L478" s="2">
        <v>251</v>
      </c>
      <c r="M478" s="2">
        <v>700</v>
      </c>
      <c r="N478" s="2">
        <v>80</v>
      </c>
      <c r="P478" s="2">
        <v>306.8</v>
      </c>
      <c r="Q478" s="2">
        <v>4475.41</v>
      </c>
      <c r="R478" s="2">
        <v>816.31</v>
      </c>
      <c r="S478" s="2">
        <v>1519761.37</v>
      </c>
      <c r="T478" s="1">
        <v>2.9448110001637951E-3</v>
      </c>
    </row>
    <row r="479" spans="1:20" x14ac:dyDescent="0.3">
      <c r="A479" s="30" t="s">
        <v>179</v>
      </c>
      <c r="B479" s="30" t="s">
        <v>119</v>
      </c>
      <c r="C479" s="30" t="s">
        <v>273</v>
      </c>
      <c r="D479">
        <v>2025</v>
      </c>
      <c r="E479">
        <v>86</v>
      </c>
      <c r="F479" s="30" t="s">
        <v>193</v>
      </c>
      <c r="G479" s="30" t="s">
        <v>29</v>
      </c>
      <c r="H479" s="30" t="s">
        <v>111</v>
      </c>
      <c r="I479" s="2">
        <v>2615.2600000000002</v>
      </c>
      <c r="J479" s="2">
        <v>2553.2199999999998</v>
      </c>
      <c r="K479" s="2">
        <v>0</v>
      </c>
      <c r="L479" s="2">
        <v>204.25</v>
      </c>
      <c r="M479" s="2">
        <v>600</v>
      </c>
      <c r="Q479" s="2">
        <v>3419.51</v>
      </c>
      <c r="R479" s="2">
        <v>293.95999999999998</v>
      </c>
      <c r="S479" s="2">
        <v>2559361.83</v>
      </c>
      <c r="T479" s="1">
        <v>1.3360791584517773E-3</v>
      </c>
    </row>
    <row r="480" spans="1:20" x14ac:dyDescent="0.3">
      <c r="A480" s="30" t="s">
        <v>179</v>
      </c>
      <c r="B480" s="30" t="s">
        <v>119</v>
      </c>
      <c r="C480" s="30" t="s">
        <v>273</v>
      </c>
      <c r="D480">
        <v>2025</v>
      </c>
      <c r="E480">
        <v>102</v>
      </c>
      <c r="F480" s="30" t="s">
        <v>271</v>
      </c>
      <c r="G480" s="30" t="s">
        <v>29</v>
      </c>
      <c r="H480" s="30" t="s">
        <v>37</v>
      </c>
      <c r="I480" s="2">
        <v>3022.34</v>
      </c>
      <c r="J480" s="2">
        <v>3022.34</v>
      </c>
      <c r="K480" s="2">
        <v>0</v>
      </c>
      <c r="L480" s="2">
        <v>241.78</v>
      </c>
      <c r="M480" s="2">
        <v>907</v>
      </c>
      <c r="N480" s="2">
        <v>80</v>
      </c>
      <c r="Q480" s="2">
        <v>4251.12</v>
      </c>
      <c r="R480" s="2">
        <v>363.74</v>
      </c>
      <c r="S480" s="2">
        <v>2559361.83</v>
      </c>
      <c r="T480" s="1">
        <v>1.6610078145925932E-3</v>
      </c>
    </row>
    <row r="481" spans="1:20" x14ac:dyDescent="0.3">
      <c r="A481" s="30" t="s">
        <v>179</v>
      </c>
      <c r="B481" s="30" t="s">
        <v>119</v>
      </c>
      <c r="C481" s="30" t="s">
        <v>273</v>
      </c>
      <c r="D481">
        <v>2025</v>
      </c>
      <c r="E481">
        <v>101</v>
      </c>
      <c r="F481" s="30" t="s">
        <v>272</v>
      </c>
      <c r="G481" s="30" t="s">
        <v>217</v>
      </c>
      <c r="H481" s="30" t="s">
        <v>218</v>
      </c>
      <c r="I481" s="2">
        <v>1787.22</v>
      </c>
      <c r="J481" s="2">
        <v>568.66</v>
      </c>
      <c r="K481" s="2">
        <v>0</v>
      </c>
      <c r="L481" s="2">
        <v>45.48</v>
      </c>
      <c r="M481" s="2">
        <v>308</v>
      </c>
      <c r="Q481" s="2">
        <v>2140.6999999999998</v>
      </c>
      <c r="R481" s="2">
        <v>4.0999999999999996</v>
      </c>
      <c r="S481" s="2">
        <v>2559361.83</v>
      </c>
      <c r="T481" s="1">
        <v>8.3641944445190066E-4</v>
      </c>
    </row>
    <row r="482" spans="1:20" x14ac:dyDescent="0.3">
      <c r="A482" s="30" t="s">
        <v>179</v>
      </c>
      <c r="B482" s="30" t="s">
        <v>72</v>
      </c>
      <c r="C482" s="30" t="s">
        <v>273</v>
      </c>
      <c r="D482">
        <v>2025</v>
      </c>
      <c r="E482">
        <v>1</v>
      </c>
      <c r="F482" s="30" t="s">
        <v>194</v>
      </c>
      <c r="G482" s="30" t="s">
        <v>23</v>
      </c>
      <c r="H482" s="30" t="s">
        <v>195</v>
      </c>
      <c r="I482" s="2">
        <v>6210.06</v>
      </c>
      <c r="J482" s="2">
        <v>6210.06</v>
      </c>
      <c r="K482" s="2">
        <v>0</v>
      </c>
      <c r="L482" s="2">
        <v>496.8</v>
      </c>
      <c r="M482" s="2">
        <v>1500</v>
      </c>
      <c r="N482" s="2">
        <v>80</v>
      </c>
      <c r="O482" s="2">
        <v>122.84</v>
      </c>
      <c r="Q482" s="2">
        <v>8409.7000000000007</v>
      </c>
      <c r="R482" s="2">
        <v>0</v>
      </c>
      <c r="S482" s="2">
        <v>1812293.64</v>
      </c>
      <c r="T482" s="1">
        <v>4.6403628056654227E-3</v>
      </c>
    </row>
    <row r="483" spans="1:20" x14ac:dyDescent="0.3">
      <c r="A483" s="30" t="s">
        <v>179</v>
      </c>
      <c r="B483" s="30" t="s">
        <v>119</v>
      </c>
      <c r="C483" s="30" t="s">
        <v>273</v>
      </c>
      <c r="D483">
        <v>2025</v>
      </c>
      <c r="E483">
        <v>89</v>
      </c>
      <c r="F483" s="30" t="s">
        <v>196</v>
      </c>
      <c r="G483" s="30" t="s">
        <v>33</v>
      </c>
      <c r="H483" s="30" t="s">
        <v>197</v>
      </c>
      <c r="I483" s="2">
        <v>4200</v>
      </c>
      <c r="J483" s="2">
        <v>4200</v>
      </c>
      <c r="K483" s="2">
        <v>0</v>
      </c>
      <c r="L483" s="2">
        <v>336</v>
      </c>
      <c r="M483" s="2">
        <v>907</v>
      </c>
      <c r="N483" s="2">
        <v>80</v>
      </c>
      <c r="Q483" s="2">
        <v>5523</v>
      </c>
      <c r="R483" s="2">
        <v>0</v>
      </c>
      <c r="S483" s="2">
        <v>2559361.83</v>
      </c>
      <c r="T483" s="1">
        <v>2.157959822351496E-3</v>
      </c>
    </row>
    <row r="484" spans="1:20" x14ac:dyDescent="0.3">
      <c r="A484" s="30" t="s">
        <v>179</v>
      </c>
      <c r="B484" s="30" t="s">
        <v>20</v>
      </c>
      <c r="C484" s="30" t="s">
        <v>273</v>
      </c>
      <c r="D484">
        <v>2025</v>
      </c>
      <c r="E484">
        <v>44</v>
      </c>
      <c r="F484" s="30" t="s">
        <v>198</v>
      </c>
      <c r="G484" s="30" t="s">
        <v>33</v>
      </c>
      <c r="H484" s="30" t="s">
        <v>37</v>
      </c>
      <c r="I484" s="2">
        <v>6337.52</v>
      </c>
      <c r="J484" s="2">
        <v>3676.99</v>
      </c>
      <c r="K484" s="2">
        <v>0</v>
      </c>
      <c r="L484" s="2">
        <v>294.14999999999998</v>
      </c>
      <c r="M484" s="2">
        <v>500</v>
      </c>
      <c r="N484" s="2">
        <v>80</v>
      </c>
      <c r="Q484" s="2">
        <v>7211.67</v>
      </c>
      <c r="R484" s="2">
        <v>0</v>
      </c>
      <c r="S484" s="2">
        <v>1519761.37</v>
      </c>
      <c r="T484" s="1">
        <v>4.7452647121830711E-3</v>
      </c>
    </row>
    <row r="485" spans="1:20" x14ac:dyDescent="0.3">
      <c r="A485" s="30" t="s">
        <v>179</v>
      </c>
      <c r="B485" s="30" t="s">
        <v>119</v>
      </c>
      <c r="C485" s="30" t="s">
        <v>273</v>
      </c>
      <c r="D485">
        <v>2025</v>
      </c>
      <c r="E485">
        <v>85</v>
      </c>
      <c r="F485" s="30" t="s">
        <v>199</v>
      </c>
      <c r="G485" s="30" t="s">
        <v>39</v>
      </c>
      <c r="H485" s="30" t="s">
        <v>37</v>
      </c>
      <c r="I485" s="2">
        <v>3570.78</v>
      </c>
      <c r="J485" s="2">
        <v>3555.89</v>
      </c>
      <c r="K485" s="2">
        <v>0</v>
      </c>
      <c r="L485" s="2">
        <v>284.47000000000003</v>
      </c>
      <c r="M485" s="2">
        <v>808</v>
      </c>
      <c r="N485" s="2">
        <v>80</v>
      </c>
      <c r="Q485" s="2">
        <v>4743.25</v>
      </c>
      <c r="R485" s="2">
        <v>770.78</v>
      </c>
      <c r="S485" s="2">
        <v>2559361.83</v>
      </c>
      <c r="T485" s="1">
        <v>1.8532940299418313E-3</v>
      </c>
    </row>
    <row r="486" spans="1:20" x14ac:dyDescent="0.3">
      <c r="A486" s="30" t="s">
        <v>179</v>
      </c>
      <c r="B486" s="30" t="s">
        <v>72</v>
      </c>
      <c r="C486" s="30" t="s">
        <v>273</v>
      </c>
      <c r="D486">
        <v>2025</v>
      </c>
      <c r="E486">
        <v>14</v>
      </c>
      <c r="F486" s="30" t="s">
        <v>200</v>
      </c>
      <c r="G486" s="30" t="s">
        <v>39</v>
      </c>
      <c r="H486" s="30" t="s">
        <v>201</v>
      </c>
      <c r="I486" s="2">
        <v>4884.8500000000004</v>
      </c>
      <c r="J486" s="2">
        <v>4884.8500000000004</v>
      </c>
      <c r="K486" s="2">
        <v>0</v>
      </c>
      <c r="L486" s="2">
        <v>390.78</v>
      </c>
      <c r="M486" s="2">
        <v>1007</v>
      </c>
      <c r="N486" s="2">
        <v>80</v>
      </c>
      <c r="O486" s="2">
        <v>122.84</v>
      </c>
      <c r="Q486" s="2">
        <v>6485.47</v>
      </c>
      <c r="R486" s="2">
        <v>375.6</v>
      </c>
      <c r="S486" s="2">
        <v>1812293.64</v>
      </c>
      <c r="T486" s="1">
        <v>3.5785977817590314E-3</v>
      </c>
    </row>
    <row r="487" spans="1:20" x14ac:dyDescent="0.3">
      <c r="A487" s="30" t="s">
        <v>179</v>
      </c>
      <c r="B487" s="30" t="s">
        <v>72</v>
      </c>
      <c r="C487" s="30" t="s">
        <v>273</v>
      </c>
      <c r="D487">
        <v>2025</v>
      </c>
      <c r="E487">
        <v>66</v>
      </c>
      <c r="F487" s="30" t="s">
        <v>202</v>
      </c>
      <c r="G487" s="30" t="s">
        <v>33</v>
      </c>
      <c r="H487" s="30" t="s">
        <v>37</v>
      </c>
      <c r="I487" s="2">
        <v>2816.43</v>
      </c>
      <c r="J487" s="2">
        <v>2816.43</v>
      </c>
      <c r="K487" s="2">
        <v>0</v>
      </c>
      <c r="L487" s="2">
        <v>225.31</v>
      </c>
      <c r="M487" s="2">
        <v>500</v>
      </c>
      <c r="N487" s="2">
        <v>80</v>
      </c>
      <c r="P487" s="2">
        <v>306.8</v>
      </c>
      <c r="Q487" s="2">
        <v>3928.54</v>
      </c>
      <c r="R487" s="2">
        <v>157.83000000000001</v>
      </c>
      <c r="S487" s="2">
        <v>1812293.64</v>
      </c>
      <c r="T487" s="1">
        <v>2.1677171476472213E-3</v>
      </c>
    </row>
    <row r="488" spans="1:20" x14ac:dyDescent="0.3">
      <c r="A488" s="30" t="s">
        <v>179</v>
      </c>
      <c r="B488" s="30" t="s">
        <v>20</v>
      </c>
      <c r="C488" s="30" t="s">
        <v>273</v>
      </c>
      <c r="D488">
        <v>2025</v>
      </c>
      <c r="E488">
        <v>80</v>
      </c>
      <c r="F488" s="30" t="s">
        <v>203</v>
      </c>
      <c r="G488" s="30" t="s">
        <v>23</v>
      </c>
      <c r="H488" s="30" t="s">
        <v>186</v>
      </c>
      <c r="I488" s="2">
        <v>2518.19</v>
      </c>
      <c r="J488" s="2">
        <v>2506.0300000000002</v>
      </c>
      <c r="K488" s="2">
        <v>0</v>
      </c>
      <c r="L488" s="2">
        <v>200.48</v>
      </c>
      <c r="M488" s="2">
        <v>1301</v>
      </c>
      <c r="Q488" s="2">
        <v>4019.67</v>
      </c>
      <c r="R488" s="2">
        <v>18.190000000000001</v>
      </c>
      <c r="S488" s="2">
        <v>1519761.37</v>
      </c>
      <c r="T488" s="1">
        <v>2.6449349742321722E-3</v>
      </c>
    </row>
    <row r="489" spans="1:20" x14ac:dyDescent="0.3">
      <c r="A489" s="30" t="s">
        <v>179</v>
      </c>
      <c r="B489" s="30" t="s">
        <v>119</v>
      </c>
      <c r="C489" s="30" t="s">
        <v>273</v>
      </c>
      <c r="D489">
        <v>2025</v>
      </c>
      <c r="E489">
        <v>103</v>
      </c>
      <c r="F489" s="30" t="s">
        <v>291</v>
      </c>
      <c r="G489" s="30" t="s">
        <v>39</v>
      </c>
      <c r="H489" s="30" t="s">
        <v>37</v>
      </c>
      <c r="I489" s="2">
        <v>3430</v>
      </c>
      <c r="J489" s="2">
        <v>3408.62</v>
      </c>
      <c r="K489" s="2">
        <v>0</v>
      </c>
      <c r="L489" s="2">
        <v>272.68</v>
      </c>
      <c r="M489" s="2">
        <v>700</v>
      </c>
      <c r="N489" s="2">
        <v>80</v>
      </c>
      <c r="Q489" s="2">
        <v>4482.68</v>
      </c>
      <c r="R489" s="2">
        <v>630</v>
      </c>
      <c r="S489" s="2">
        <v>2559361.83</v>
      </c>
      <c r="T489" s="1">
        <v>1.7514834938364304E-3</v>
      </c>
    </row>
    <row r="490" spans="1:20" x14ac:dyDescent="0.3">
      <c r="A490" s="30" t="s">
        <v>179</v>
      </c>
      <c r="B490" s="30" t="s">
        <v>119</v>
      </c>
      <c r="C490" s="30" t="s">
        <v>273</v>
      </c>
      <c r="D490">
        <v>2025</v>
      </c>
      <c r="E490">
        <v>91</v>
      </c>
      <c r="F490" s="30" t="s">
        <v>204</v>
      </c>
      <c r="G490" s="30" t="s">
        <v>33</v>
      </c>
      <c r="H490" s="30" t="s">
        <v>37</v>
      </c>
      <c r="I490" s="2">
        <v>3123.55</v>
      </c>
      <c r="J490" s="2">
        <v>3123.55</v>
      </c>
      <c r="K490" s="2">
        <v>0</v>
      </c>
      <c r="L490" s="2">
        <v>249.88</v>
      </c>
      <c r="M490" s="2">
        <v>500</v>
      </c>
      <c r="N490" s="2">
        <v>80</v>
      </c>
      <c r="Q490" s="2">
        <v>3953.43</v>
      </c>
      <c r="R490" s="2">
        <v>464.95</v>
      </c>
      <c r="S490" s="2">
        <v>2559361.83</v>
      </c>
      <c r="T490" s="1">
        <v>1.5446936629511271E-3</v>
      </c>
    </row>
    <row r="491" spans="1:20" x14ac:dyDescent="0.3">
      <c r="A491" s="30" t="s">
        <v>179</v>
      </c>
      <c r="B491" s="30" t="s">
        <v>72</v>
      </c>
      <c r="C491" s="30" t="s">
        <v>273</v>
      </c>
      <c r="D491">
        <v>2025</v>
      </c>
      <c r="E491">
        <v>3</v>
      </c>
      <c r="F491" s="30" t="s">
        <v>205</v>
      </c>
      <c r="G491" s="30" t="s">
        <v>33</v>
      </c>
      <c r="H491" s="30" t="s">
        <v>37</v>
      </c>
      <c r="I491" s="2">
        <v>2706.25</v>
      </c>
      <c r="J491" s="2">
        <v>2706.25</v>
      </c>
      <c r="K491" s="2">
        <v>0</v>
      </c>
      <c r="L491" s="2">
        <v>216.5</v>
      </c>
      <c r="M491" s="2">
        <v>322</v>
      </c>
      <c r="N491" s="2">
        <v>80</v>
      </c>
      <c r="O491" s="2">
        <v>122.84</v>
      </c>
      <c r="Q491" s="2">
        <v>3447.59</v>
      </c>
      <c r="R491" s="2">
        <v>0</v>
      </c>
      <c r="S491" s="2">
        <v>1812293.64</v>
      </c>
      <c r="T491" s="1">
        <v>1.9023352087689279E-3</v>
      </c>
    </row>
    <row r="492" spans="1:20" x14ac:dyDescent="0.3">
      <c r="A492" s="30" t="s">
        <v>179</v>
      </c>
      <c r="B492" s="30" t="s">
        <v>119</v>
      </c>
      <c r="C492" s="30" t="s">
        <v>273</v>
      </c>
      <c r="D492">
        <v>2025</v>
      </c>
      <c r="E492">
        <v>77</v>
      </c>
      <c r="F492" s="30" t="s">
        <v>206</v>
      </c>
      <c r="G492" s="30" t="s">
        <v>42</v>
      </c>
      <c r="H492" s="30" t="s">
        <v>43</v>
      </c>
      <c r="I492" s="2">
        <v>2519.64</v>
      </c>
      <c r="J492" s="2">
        <v>2519.64</v>
      </c>
      <c r="K492" s="2">
        <v>0</v>
      </c>
      <c r="L492" s="2">
        <v>201.57</v>
      </c>
      <c r="M492" s="2">
        <v>907</v>
      </c>
      <c r="O492" s="2">
        <v>122.84</v>
      </c>
      <c r="Q492" s="2">
        <v>3751.05</v>
      </c>
      <c r="R492" s="2">
        <v>454.94</v>
      </c>
      <c r="S492" s="2">
        <v>2559361.83</v>
      </c>
      <c r="T492" s="1">
        <v>1.4656192633770741E-3</v>
      </c>
    </row>
    <row r="493" spans="1:20" x14ac:dyDescent="0.3">
      <c r="A493" s="30" t="s">
        <v>179</v>
      </c>
      <c r="B493" s="30" t="s">
        <v>20</v>
      </c>
      <c r="C493" s="30" t="s">
        <v>273</v>
      </c>
      <c r="D493">
        <v>2025</v>
      </c>
      <c r="E493">
        <v>39</v>
      </c>
      <c r="F493" s="30" t="s">
        <v>207</v>
      </c>
      <c r="G493" s="30" t="s">
        <v>29</v>
      </c>
      <c r="H493" s="30" t="s">
        <v>111</v>
      </c>
      <c r="I493" s="2">
        <v>3332.94</v>
      </c>
      <c r="J493" s="2">
        <v>0</v>
      </c>
      <c r="K493" s="2">
        <v>0</v>
      </c>
      <c r="L493" s="2">
        <v>0</v>
      </c>
      <c r="O493" s="2">
        <v>122.84</v>
      </c>
      <c r="Q493" s="2">
        <v>3455.78</v>
      </c>
      <c r="R493" s="2">
        <v>0</v>
      </c>
      <c r="S493" s="2">
        <v>1519761.37</v>
      </c>
      <c r="T493" s="1">
        <v>2.2738964604686589E-3</v>
      </c>
    </row>
    <row r="494" spans="1:20" x14ac:dyDescent="0.3">
      <c r="A494" s="30" t="s">
        <v>179</v>
      </c>
      <c r="B494" s="30" t="s">
        <v>72</v>
      </c>
      <c r="C494" s="30" t="s">
        <v>273</v>
      </c>
      <c r="D494">
        <v>2025</v>
      </c>
      <c r="E494">
        <v>4</v>
      </c>
      <c r="F494" s="30" t="s">
        <v>208</v>
      </c>
      <c r="G494" s="30" t="s">
        <v>23</v>
      </c>
      <c r="H494" s="30" t="s">
        <v>209</v>
      </c>
      <c r="I494" s="2">
        <v>4063.88</v>
      </c>
      <c r="J494" s="2">
        <v>4063.88</v>
      </c>
      <c r="K494" s="2">
        <v>0</v>
      </c>
      <c r="L494" s="2">
        <v>325.11</v>
      </c>
      <c r="M494" s="2">
        <v>707</v>
      </c>
      <c r="N494" s="2">
        <v>80</v>
      </c>
      <c r="O494" s="2">
        <v>122.84</v>
      </c>
      <c r="Q494" s="2">
        <v>5298.83</v>
      </c>
      <c r="R494" s="2">
        <v>210.2</v>
      </c>
      <c r="S494" s="2">
        <v>1812293.64</v>
      </c>
      <c r="T494" s="1">
        <v>2.9238253023941528E-3</v>
      </c>
    </row>
    <row r="495" spans="1:20" x14ac:dyDescent="0.3">
      <c r="A495" s="30" t="s">
        <v>179</v>
      </c>
      <c r="B495" s="30" t="s">
        <v>20</v>
      </c>
      <c r="C495" s="30" t="s">
        <v>273</v>
      </c>
      <c r="D495">
        <v>2025</v>
      </c>
      <c r="E495">
        <v>105</v>
      </c>
      <c r="F495" s="30" t="s">
        <v>292</v>
      </c>
      <c r="G495" s="30" t="s">
        <v>29</v>
      </c>
      <c r="H495" s="30" t="s">
        <v>111</v>
      </c>
      <c r="I495" s="2">
        <v>2501.16</v>
      </c>
      <c r="J495" s="2">
        <v>2501.16</v>
      </c>
      <c r="K495" s="2">
        <v>0</v>
      </c>
      <c r="L495" s="2">
        <v>200.09</v>
      </c>
      <c r="M495" s="2">
        <v>340</v>
      </c>
      <c r="Q495" s="2">
        <v>3041.25</v>
      </c>
      <c r="R495" s="2">
        <v>644.12</v>
      </c>
      <c r="S495" s="2">
        <v>1519761.37</v>
      </c>
      <c r="T495" s="1">
        <v>2.0011365336914701E-3</v>
      </c>
    </row>
    <row r="496" spans="1:20" x14ac:dyDescent="0.3">
      <c r="A496" s="30" t="s">
        <v>179</v>
      </c>
      <c r="B496" s="30" t="s">
        <v>119</v>
      </c>
      <c r="C496" s="30" t="s">
        <v>273</v>
      </c>
      <c r="D496">
        <v>2025</v>
      </c>
      <c r="E496">
        <v>93</v>
      </c>
      <c r="F496" s="30" t="s">
        <v>211</v>
      </c>
      <c r="G496" s="30" t="s">
        <v>23</v>
      </c>
      <c r="H496" s="30" t="s">
        <v>212</v>
      </c>
      <c r="I496" s="2">
        <v>6720</v>
      </c>
      <c r="J496" s="2">
        <v>6720</v>
      </c>
      <c r="K496" s="2">
        <v>0</v>
      </c>
      <c r="L496" s="2">
        <v>537.6</v>
      </c>
      <c r="M496" s="2">
        <v>2035</v>
      </c>
      <c r="N496" s="2">
        <v>80</v>
      </c>
      <c r="O496" s="2">
        <v>737.07</v>
      </c>
      <c r="Q496" s="2">
        <v>10109.67</v>
      </c>
      <c r="R496" s="2">
        <v>0</v>
      </c>
      <c r="S496" s="2">
        <v>2559361.83</v>
      </c>
      <c r="T496" s="1">
        <v>3.9500745386985784E-3</v>
      </c>
    </row>
    <row r="497" spans="1:20" x14ac:dyDescent="0.3">
      <c r="A497" s="30" t="s">
        <v>179</v>
      </c>
      <c r="B497" s="30" t="s">
        <v>119</v>
      </c>
      <c r="C497" s="30" t="s">
        <v>273</v>
      </c>
      <c r="D497">
        <v>2025</v>
      </c>
      <c r="E497">
        <v>82</v>
      </c>
      <c r="F497" s="30" t="s">
        <v>213</v>
      </c>
      <c r="G497" s="30" t="s">
        <v>23</v>
      </c>
      <c r="H497" s="30" t="s">
        <v>24</v>
      </c>
      <c r="I497" s="2">
        <v>2542.46</v>
      </c>
      <c r="J497" s="2">
        <v>2538.98</v>
      </c>
      <c r="K497" s="2">
        <v>0</v>
      </c>
      <c r="L497" s="2">
        <v>203.11</v>
      </c>
      <c r="M497" s="2">
        <v>400</v>
      </c>
      <c r="N497" s="2">
        <v>80</v>
      </c>
      <c r="Q497" s="2">
        <v>3225.57</v>
      </c>
      <c r="R497" s="2">
        <v>221.16</v>
      </c>
      <c r="S497" s="2">
        <v>2559361.83</v>
      </c>
      <c r="T497" s="1">
        <v>1.2603024559446523E-3</v>
      </c>
    </row>
    <row r="498" spans="1:20" x14ac:dyDescent="0.3">
      <c r="A498" s="30" t="s">
        <v>179</v>
      </c>
      <c r="B498" s="30" t="s">
        <v>72</v>
      </c>
      <c r="C498" s="30" t="s">
        <v>273</v>
      </c>
      <c r="D498">
        <v>2025</v>
      </c>
      <c r="E498">
        <v>87</v>
      </c>
      <c r="F498" s="30" t="s">
        <v>214</v>
      </c>
      <c r="G498" s="30" t="s">
        <v>23</v>
      </c>
      <c r="H498" s="30" t="s">
        <v>24</v>
      </c>
      <c r="I498" s="2">
        <v>2695.24</v>
      </c>
      <c r="J498" s="2">
        <v>2695.24</v>
      </c>
      <c r="K498" s="2">
        <v>0</v>
      </c>
      <c r="L498" s="2">
        <v>215.61</v>
      </c>
      <c r="M498" s="2">
        <v>400</v>
      </c>
      <c r="N498" s="2">
        <v>80</v>
      </c>
      <c r="O498" s="2">
        <v>122.84</v>
      </c>
      <c r="P498" s="2">
        <v>305.39999999999998</v>
      </c>
      <c r="Q498" s="2">
        <v>3819.09</v>
      </c>
      <c r="R498" s="2">
        <v>373.94</v>
      </c>
      <c r="S498" s="2">
        <v>1812293.64</v>
      </c>
      <c r="T498" s="1">
        <v>2.1073240647691066E-3</v>
      </c>
    </row>
    <row r="499" spans="1:20" x14ac:dyDescent="0.3">
      <c r="A499" s="30" t="s">
        <v>179</v>
      </c>
      <c r="B499" s="30" t="s">
        <v>119</v>
      </c>
      <c r="C499" s="30" t="s">
        <v>273</v>
      </c>
      <c r="D499">
        <v>2025</v>
      </c>
      <c r="E499">
        <v>8</v>
      </c>
      <c r="F499" s="30" t="s">
        <v>215</v>
      </c>
      <c r="G499" s="30" t="s">
        <v>39</v>
      </c>
      <c r="H499" s="30" t="s">
        <v>55</v>
      </c>
      <c r="I499" s="2">
        <v>3011.73</v>
      </c>
      <c r="J499" s="2">
        <v>2772.06</v>
      </c>
      <c r="K499" s="2">
        <v>0</v>
      </c>
      <c r="L499" s="2">
        <v>221.76</v>
      </c>
      <c r="M499" s="2">
        <v>707</v>
      </c>
      <c r="N499" s="2">
        <v>80</v>
      </c>
      <c r="O499" s="2">
        <v>122.84</v>
      </c>
      <c r="Q499" s="2">
        <v>4143.33</v>
      </c>
      <c r="R499" s="2">
        <v>512.36</v>
      </c>
      <c r="S499" s="2">
        <v>2559361.83</v>
      </c>
      <c r="T499" s="1">
        <v>1.6188918469570205E-3</v>
      </c>
    </row>
    <row r="500" spans="1:20" x14ac:dyDescent="0.3">
      <c r="A500" s="30" t="s">
        <v>179</v>
      </c>
      <c r="B500" s="30" t="s">
        <v>72</v>
      </c>
      <c r="C500" s="30" t="s">
        <v>273</v>
      </c>
      <c r="D500">
        <v>2025</v>
      </c>
      <c r="E500">
        <v>30</v>
      </c>
      <c r="F500" s="30" t="s">
        <v>216</v>
      </c>
      <c r="G500" s="30" t="s">
        <v>217</v>
      </c>
      <c r="H500" s="30" t="s">
        <v>218</v>
      </c>
      <c r="I500" s="2">
        <v>2414.37</v>
      </c>
      <c r="J500" s="2">
        <v>2414.37</v>
      </c>
      <c r="K500" s="2">
        <v>0</v>
      </c>
      <c r="L500" s="2">
        <v>193.14</v>
      </c>
      <c r="O500" s="2">
        <v>122.84</v>
      </c>
      <c r="Q500" s="2">
        <v>2730.35</v>
      </c>
      <c r="R500" s="2">
        <v>0</v>
      </c>
      <c r="S500" s="2">
        <v>1812293.64</v>
      </c>
      <c r="T500" s="1">
        <v>1.5065715288831451E-3</v>
      </c>
    </row>
    <row r="501" spans="1:20" x14ac:dyDescent="0.3">
      <c r="A501" s="30" t="s">
        <v>179</v>
      </c>
      <c r="B501" s="30" t="s">
        <v>72</v>
      </c>
      <c r="C501" s="30" t="s">
        <v>273</v>
      </c>
      <c r="D501">
        <v>2025</v>
      </c>
      <c r="E501">
        <v>95</v>
      </c>
      <c r="F501" s="30" t="s">
        <v>220</v>
      </c>
      <c r="G501" s="30" t="s">
        <v>33</v>
      </c>
      <c r="H501" s="30" t="s">
        <v>221</v>
      </c>
      <c r="I501" s="2">
        <v>2419.09</v>
      </c>
      <c r="J501" s="2">
        <v>2406.8200000000002</v>
      </c>
      <c r="K501" s="2">
        <v>0</v>
      </c>
      <c r="L501" s="2">
        <v>192.54</v>
      </c>
      <c r="M501" s="2">
        <v>1071</v>
      </c>
      <c r="N501" s="2">
        <v>80</v>
      </c>
      <c r="Q501" s="2">
        <v>3762.63</v>
      </c>
      <c r="R501" s="2">
        <v>419.09</v>
      </c>
      <c r="S501" s="2">
        <v>1812293.64</v>
      </c>
      <c r="T501" s="1">
        <v>2.0761701729527676E-3</v>
      </c>
    </row>
    <row r="502" spans="1:20" x14ac:dyDescent="0.3">
      <c r="A502" s="30" t="s">
        <v>179</v>
      </c>
      <c r="B502" s="30" t="s">
        <v>20</v>
      </c>
      <c r="C502" s="30" t="s">
        <v>273</v>
      </c>
      <c r="D502">
        <v>2025</v>
      </c>
      <c r="E502">
        <v>100</v>
      </c>
      <c r="F502" s="30" t="s">
        <v>223</v>
      </c>
      <c r="G502" s="30" t="s">
        <v>23</v>
      </c>
      <c r="H502" s="30" t="s">
        <v>224</v>
      </c>
      <c r="I502" s="2">
        <v>3013.4</v>
      </c>
      <c r="J502" s="2">
        <v>3013.4</v>
      </c>
      <c r="K502" s="2">
        <v>0</v>
      </c>
      <c r="L502" s="2">
        <v>241.07</v>
      </c>
      <c r="M502" s="2">
        <v>800</v>
      </c>
      <c r="O502" s="2">
        <v>122.84</v>
      </c>
      <c r="Q502" s="2">
        <v>4177.3100000000004</v>
      </c>
      <c r="R502" s="2">
        <v>354.8</v>
      </c>
      <c r="S502" s="2">
        <v>1519761.37</v>
      </c>
      <c r="T502" s="1">
        <v>2.7486617849748346E-3</v>
      </c>
    </row>
    <row r="503" spans="1:20" x14ac:dyDescent="0.3">
      <c r="A503" s="30" t="s">
        <v>179</v>
      </c>
      <c r="B503" s="30" t="s">
        <v>72</v>
      </c>
      <c r="C503" s="30" t="s">
        <v>273</v>
      </c>
      <c r="D503">
        <v>2025</v>
      </c>
      <c r="E503" t="s">
        <v>225</v>
      </c>
      <c r="F503" s="30" t="s">
        <v>226</v>
      </c>
      <c r="G503" s="30" t="s">
        <v>33</v>
      </c>
      <c r="H503" s="30" t="s">
        <v>37</v>
      </c>
      <c r="I503" s="2">
        <v>2658.6</v>
      </c>
      <c r="K503" s="2">
        <v>0</v>
      </c>
      <c r="M503" s="2">
        <v>807</v>
      </c>
      <c r="N503" s="2">
        <v>80</v>
      </c>
      <c r="Q503" s="2">
        <v>3545.6</v>
      </c>
      <c r="S503" s="2">
        <v>1812293.64</v>
      </c>
      <c r="T503" s="1">
        <v>1.9564158488135511E-3</v>
      </c>
    </row>
    <row r="504" spans="1:20" x14ac:dyDescent="0.3">
      <c r="A504" s="30" t="s">
        <v>179</v>
      </c>
      <c r="B504" s="30" t="s">
        <v>72</v>
      </c>
      <c r="C504" s="30" t="s">
        <v>273</v>
      </c>
      <c r="D504">
        <v>2025</v>
      </c>
      <c r="E504" t="s">
        <v>227</v>
      </c>
      <c r="F504" s="30" t="s">
        <v>228</v>
      </c>
      <c r="G504" s="30" t="s">
        <v>217</v>
      </c>
      <c r="H504" s="30" t="s">
        <v>229</v>
      </c>
      <c r="I504" s="2">
        <v>2329.37</v>
      </c>
      <c r="K504" s="2">
        <v>0</v>
      </c>
      <c r="M504" s="2">
        <v>707</v>
      </c>
      <c r="Q504" s="2">
        <v>3036.37</v>
      </c>
      <c r="S504" s="2">
        <v>1812293.64</v>
      </c>
      <c r="T504" s="1">
        <v>1.6754293746790393E-3</v>
      </c>
    </row>
    <row r="505" spans="1:20" x14ac:dyDescent="0.3">
      <c r="A505" s="30" t="s">
        <v>179</v>
      </c>
      <c r="B505" s="30" t="s">
        <v>119</v>
      </c>
      <c r="C505" s="30" t="s">
        <v>273</v>
      </c>
      <c r="D505">
        <v>2025</v>
      </c>
      <c r="E505">
        <v>98</v>
      </c>
      <c r="F505" s="30" t="s">
        <v>230</v>
      </c>
      <c r="G505" s="30" t="s">
        <v>23</v>
      </c>
      <c r="H505" s="30" t="s">
        <v>186</v>
      </c>
      <c r="I505" s="2">
        <v>4339.25</v>
      </c>
      <c r="J505" s="2">
        <v>4339.25</v>
      </c>
      <c r="K505" s="2">
        <v>0</v>
      </c>
      <c r="L505" s="2">
        <v>347.14</v>
      </c>
      <c r="M505" s="2">
        <v>873</v>
      </c>
      <c r="N505" s="2">
        <v>80</v>
      </c>
      <c r="O505" s="2">
        <v>122.84</v>
      </c>
      <c r="Q505" s="2">
        <v>5762.23</v>
      </c>
      <c r="R505" s="2">
        <v>0</v>
      </c>
      <c r="S505" s="2">
        <v>2559361.83</v>
      </c>
      <c r="T505" s="1">
        <v>2.2514323424132647E-3</v>
      </c>
    </row>
    <row r="506" spans="1:20" x14ac:dyDescent="0.3">
      <c r="A506" s="30" t="s">
        <v>179</v>
      </c>
      <c r="B506" s="30" t="s">
        <v>20</v>
      </c>
      <c r="C506" s="30" t="s">
        <v>273</v>
      </c>
      <c r="D506">
        <v>2025</v>
      </c>
      <c r="E506">
        <v>99</v>
      </c>
      <c r="F506" s="30" t="s">
        <v>233</v>
      </c>
      <c r="G506" s="30" t="s">
        <v>42</v>
      </c>
      <c r="H506" s="30" t="s">
        <v>232</v>
      </c>
      <c r="I506" s="2">
        <v>2155.8000000000002</v>
      </c>
      <c r="J506" s="2">
        <v>2115.2199999999998</v>
      </c>
      <c r="K506" s="2">
        <v>0</v>
      </c>
      <c r="L506" s="2">
        <v>169.21</v>
      </c>
      <c r="M506" s="2">
        <v>322</v>
      </c>
      <c r="P506" s="2">
        <v>306.8</v>
      </c>
      <c r="Q506" s="2">
        <v>2953.81</v>
      </c>
      <c r="R506" s="2">
        <v>180.8</v>
      </c>
      <c r="S506" s="2">
        <v>1519761.37</v>
      </c>
      <c r="T506" s="1">
        <v>1.9436011852308104E-3</v>
      </c>
    </row>
  </sheetData>
  <pageMargins left="0.511811024" right="0.511811024" top="0.78740157499999996" bottom="0.78740157499999996" header="0.31496062000000002" footer="0.3149606200000000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AH202"/>
  <sheetViews>
    <sheetView topLeftCell="Y1" workbookViewId="0">
      <selection activeCell="AG1" sqref="AG1"/>
    </sheetView>
  </sheetViews>
  <sheetFormatPr defaultRowHeight="14.4" x14ac:dyDescent="0.3"/>
  <cols>
    <col min="1" max="1" width="14.77734375" bestFit="1" customWidth="1"/>
    <col min="2" max="2" width="10.33203125" bestFit="1" customWidth="1"/>
    <col min="3" max="3" width="13.109375" bestFit="1" customWidth="1"/>
    <col min="5" max="5" width="14.77734375" bestFit="1" customWidth="1"/>
    <col min="6" max="6" width="10.77734375" bestFit="1" customWidth="1"/>
    <col min="8" max="8" width="39.77734375" bestFit="1" customWidth="1"/>
    <col min="9" max="10" width="10.77734375" bestFit="1" customWidth="1"/>
    <col min="12" max="12" width="14.21875" bestFit="1" customWidth="1"/>
    <col min="13" max="13" width="13.21875" bestFit="1" customWidth="1"/>
    <col min="14" max="14" width="17.6640625" bestFit="1" customWidth="1"/>
    <col min="15" max="15" width="13.21875" bestFit="1" customWidth="1"/>
    <col min="16" max="16" width="17.21875" bestFit="1" customWidth="1"/>
    <col min="17" max="17" width="18.77734375" bestFit="1" customWidth="1"/>
    <col min="18" max="18" width="15.5546875" bestFit="1" customWidth="1"/>
    <col min="19" max="19" width="17.6640625" bestFit="1" customWidth="1"/>
    <col min="20" max="20" width="18.77734375" bestFit="1" customWidth="1"/>
    <col min="21" max="22" width="17.6640625" customWidth="1"/>
    <col min="23" max="23" width="40.109375" bestFit="1" customWidth="1"/>
    <col min="24" max="24" width="20.88671875" bestFit="1" customWidth="1"/>
    <col min="25" max="25" width="18.5546875" bestFit="1" customWidth="1"/>
    <col min="26" max="26" width="14" bestFit="1" customWidth="1"/>
    <col min="27" max="28" width="14.21875" bestFit="1" customWidth="1"/>
    <col min="29" max="29" width="14.77734375" bestFit="1" customWidth="1"/>
    <col min="30" max="30" width="10.77734375" bestFit="1" customWidth="1"/>
    <col min="31" max="31" width="14.21875" bestFit="1" customWidth="1"/>
    <col min="32" max="32" width="18.5546875" bestFit="1" customWidth="1"/>
    <col min="33" max="33" width="17.21875" bestFit="1" customWidth="1"/>
    <col min="34" max="34" width="14.33203125" bestFit="1" customWidth="1"/>
    <col min="35" max="36" width="18.5546875" bestFit="1" customWidth="1"/>
    <col min="37" max="46" width="31.88671875" bestFit="1" customWidth="1"/>
    <col min="47" max="49" width="36.6640625" bestFit="1" customWidth="1"/>
    <col min="50" max="291" width="31.88671875" bestFit="1" customWidth="1"/>
    <col min="292" max="294" width="36.6640625" bestFit="1" customWidth="1"/>
    <col min="295" max="2131" width="31.88671875" bestFit="1" customWidth="1"/>
    <col min="2132" max="2134" width="36.6640625" bestFit="1" customWidth="1"/>
  </cols>
  <sheetData>
    <row r="1" spans="1:34" ht="19.2" x14ac:dyDescent="0.45">
      <c r="A1" s="21" t="s">
        <v>234</v>
      </c>
      <c r="B1" s="22" t="s">
        <v>237</v>
      </c>
      <c r="C1" s="22" t="s">
        <v>238</v>
      </c>
      <c r="E1" s="21" t="s">
        <v>234</v>
      </c>
      <c r="F1" s="22" t="s">
        <v>236</v>
      </c>
      <c r="H1" s="21" t="s">
        <v>234</v>
      </c>
      <c r="I1" s="22" t="s">
        <v>236</v>
      </c>
      <c r="L1" s="27" t="s">
        <v>239</v>
      </c>
      <c r="M1" s="27" t="s">
        <v>245</v>
      </c>
      <c r="N1" s="27" t="s">
        <v>241</v>
      </c>
      <c r="O1" s="27" t="s">
        <v>240</v>
      </c>
      <c r="P1" s="27" t="s">
        <v>244</v>
      </c>
      <c r="Q1" s="27" t="s">
        <v>242</v>
      </c>
      <c r="R1" s="27" t="s">
        <v>243</v>
      </c>
      <c r="T1" s="9" t="str" cm="1">
        <f t="array" ref="T1:U7">TRANSPOSE(L1:R2)</f>
        <v>SALÁRIOS</v>
      </c>
      <c r="U1" s="10">
        <v>461184.08000000019</v>
      </c>
      <c r="W1" s="4" t="s">
        <v>234</v>
      </c>
      <c r="X1" s="27" t="s">
        <v>246</v>
      </c>
      <c r="Z1" s="27" t="s">
        <v>247</v>
      </c>
      <c r="AC1" s="21" t="s">
        <v>234</v>
      </c>
      <c r="AD1" s="22" t="s">
        <v>236</v>
      </c>
      <c r="AG1" s="4" t="s">
        <v>234</v>
      </c>
      <c r="AH1" t="s">
        <v>248</v>
      </c>
    </row>
    <row r="2" spans="1:34" ht="19.2" x14ac:dyDescent="0.45">
      <c r="A2" s="23" t="s">
        <v>72</v>
      </c>
      <c r="B2" s="26">
        <v>141822.24000000002</v>
      </c>
      <c r="C2" s="26">
        <v>205452.32860000001</v>
      </c>
      <c r="E2" s="23" t="s">
        <v>72</v>
      </c>
      <c r="F2" s="24">
        <v>0.11336591607196725</v>
      </c>
      <c r="H2" s="23" t="s">
        <v>119</v>
      </c>
      <c r="I2" s="24">
        <v>0.11503069039675409</v>
      </c>
      <c r="L2" s="28">
        <v>461184.08000000019</v>
      </c>
      <c r="M2" s="28">
        <v>75398.751099999979</v>
      </c>
      <c r="N2" s="28">
        <v>67540</v>
      </c>
      <c r="O2" s="28">
        <v>30211.610000000004</v>
      </c>
      <c r="P2" s="28">
        <v>10020.799999999999</v>
      </c>
      <c r="Q2" s="28">
        <v>5520</v>
      </c>
      <c r="R2" s="28">
        <v>3562.3900000000012</v>
      </c>
      <c r="T2" s="7" t="str">
        <v>ENCARGOS</v>
      </c>
      <c r="U2" s="8">
        <v>75398.751099999979</v>
      </c>
      <c r="W2" s="5" t="s">
        <v>189</v>
      </c>
      <c r="X2" s="3">
        <v>970.06</v>
      </c>
      <c r="Z2" s="29">
        <v>41904.339999999989</v>
      </c>
      <c r="AC2" s="23" t="s">
        <v>72</v>
      </c>
      <c r="AD2" s="24">
        <v>0.11336591607196725</v>
      </c>
      <c r="AG2" s="5" t="s">
        <v>29</v>
      </c>
      <c r="AH2" s="13">
        <v>0.29008242073994928</v>
      </c>
    </row>
    <row r="3" spans="1:34" ht="19.2" x14ac:dyDescent="0.45">
      <c r="A3" s="23" t="s">
        <v>20</v>
      </c>
      <c r="B3" s="26">
        <v>112235.24999999999</v>
      </c>
      <c r="C3" s="26">
        <v>153580.14350000003</v>
      </c>
      <c r="E3" s="23" t="s">
        <v>20</v>
      </c>
      <c r="F3" s="24">
        <v>0.10105543311710838</v>
      </c>
      <c r="H3" s="25" t="s">
        <v>161</v>
      </c>
      <c r="I3" s="24">
        <v>3.965130342668273E-3</v>
      </c>
      <c r="T3" s="7" t="str">
        <v xml:space="preserve">PICPAY BENEFICIOS </v>
      </c>
      <c r="U3" s="8">
        <v>67540</v>
      </c>
      <c r="W3" s="5" t="s">
        <v>187</v>
      </c>
      <c r="X3" s="3">
        <v>936.64</v>
      </c>
      <c r="AC3" s="23" t="s">
        <v>20</v>
      </c>
      <c r="AD3" s="24">
        <v>0.10105543311710838</v>
      </c>
      <c r="AG3" s="5" t="s">
        <v>33</v>
      </c>
      <c r="AH3" s="13">
        <v>0.2348989782384133</v>
      </c>
    </row>
    <row r="4" spans="1:34" ht="19.2" x14ac:dyDescent="0.45">
      <c r="A4" s="23" t="s">
        <v>119</v>
      </c>
      <c r="B4" s="26">
        <v>207126.58999999997</v>
      </c>
      <c r="C4" s="26">
        <v>294405.15820000001</v>
      </c>
      <c r="E4" s="23" t="s">
        <v>119</v>
      </c>
      <c r="F4" s="24">
        <v>0.11503069039675408</v>
      </c>
      <c r="H4" s="25" t="s">
        <v>211</v>
      </c>
      <c r="I4" s="24">
        <v>3.9500745386985784E-3</v>
      </c>
      <c r="T4" s="7" t="str">
        <v xml:space="preserve">FGTS </v>
      </c>
      <c r="U4" s="8">
        <v>30211.610000000004</v>
      </c>
      <c r="W4" s="5" t="s">
        <v>180</v>
      </c>
      <c r="X4" s="3">
        <v>836.4</v>
      </c>
      <c r="AC4" s="23" t="s">
        <v>119</v>
      </c>
      <c r="AD4" s="24">
        <v>0.11503069039675408</v>
      </c>
      <c r="AG4" s="5" t="s">
        <v>39</v>
      </c>
      <c r="AH4" s="13">
        <v>0.12834834024097377</v>
      </c>
    </row>
    <row r="5" spans="1:34" ht="19.2" x14ac:dyDescent="0.45">
      <c r="A5" s="23" t="s">
        <v>235</v>
      </c>
      <c r="B5" s="26">
        <v>461184.07999999996</v>
      </c>
      <c r="C5" s="26">
        <v>653437.63030000008</v>
      </c>
      <c r="E5" s="23" t="s">
        <v>235</v>
      </c>
      <c r="F5" s="24">
        <v>0.32945203958582969</v>
      </c>
      <c r="H5" s="25" t="s">
        <v>156</v>
      </c>
      <c r="I5" s="24">
        <v>3.8247393882560169E-3</v>
      </c>
      <c r="T5" s="7" t="str">
        <v xml:space="preserve">VALE TRANSPORTE </v>
      </c>
      <c r="U5" s="8">
        <v>10020.799999999999</v>
      </c>
      <c r="W5" s="5" t="s">
        <v>192</v>
      </c>
      <c r="X5" s="3">
        <v>816.31</v>
      </c>
      <c r="AC5" s="23" t="s">
        <v>235</v>
      </c>
      <c r="AD5" s="24">
        <v>0.32945203958582969</v>
      </c>
      <c r="AG5" s="5" t="s">
        <v>26</v>
      </c>
      <c r="AH5" s="13">
        <v>0.10733473027532801</v>
      </c>
    </row>
    <row r="6" spans="1:34" ht="19.2" x14ac:dyDescent="0.45">
      <c r="H6" s="25" t="s">
        <v>148</v>
      </c>
      <c r="I6" s="24">
        <v>3.4789040868051079E-3</v>
      </c>
      <c r="T6" s="7" t="str">
        <v xml:space="preserve">PICPAY ASSIDUIDADE </v>
      </c>
      <c r="U6" s="8">
        <v>5520</v>
      </c>
      <c r="W6" s="5" t="s">
        <v>153</v>
      </c>
      <c r="X6" s="3">
        <v>798.91</v>
      </c>
      <c r="AG6" s="5" t="s">
        <v>23</v>
      </c>
      <c r="AH6" s="13">
        <v>8.8246261350951191E-2</v>
      </c>
    </row>
    <row r="7" spans="1:34" ht="19.2" x14ac:dyDescent="0.45">
      <c r="H7" s="25" t="s">
        <v>230</v>
      </c>
      <c r="I7" s="24">
        <v>2.2514323424132647E-3</v>
      </c>
      <c r="T7" s="11" t="str">
        <v xml:space="preserve">PLANO DE SAÚDE </v>
      </c>
      <c r="U7" s="12">
        <v>3562.3900000000012</v>
      </c>
      <c r="W7" s="5" t="s">
        <v>80</v>
      </c>
      <c r="X7" s="3">
        <v>780.8</v>
      </c>
      <c r="AG7" s="5" t="s">
        <v>89</v>
      </c>
      <c r="AH7" s="13">
        <v>3.8950612606003146E-2</v>
      </c>
    </row>
    <row r="8" spans="1:34" ht="15.6" x14ac:dyDescent="0.4">
      <c r="H8" s="25" t="s">
        <v>183</v>
      </c>
      <c r="I8" s="24">
        <v>2.2443172874856854E-3</v>
      </c>
      <c r="W8" s="5" t="s">
        <v>199</v>
      </c>
      <c r="X8" s="3">
        <v>770.78</v>
      </c>
      <c r="AG8" s="5" t="s">
        <v>125</v>
      </c>
      <c r="AH8" s="13">
        <v>3.6778588629746388E-2</v>
      </c>
    </row>
    <row r="9" spans="1:34" ht="15.6" x14ac:dyDescent="0.4">
      <c r="H9" s="25" t="s">
        <v>196</v>
      </c>
      <c r="I9" s="24">
        <v>2.157959822351496E-3</v>
      </c>
      <c r="W9" s="5" t="s">
        <v>149</v>
      </c>
      <c r="X9" s="3">
        <v>743.01</v>
      </c>
      <c r="AG9" s="5" t="s">
        <v>76</v>
      </c>
      <c r="AH9" s="13">
        <v>3.4282972025524626E-2</v>
      </c>
    </row>
    <row r="10" spans="1:34" ht="15.6" x14ac:dyDescent="0.4">
      <c r="H10" s="25" t="s">
        <v>149</v>
      </c>
      <c r="I10" s="24">
        <v>2.0248678671589003E-3</v>
      </c>
      <c r="W10" s="5" t="s">
        <v>292</v>
      </c>
      <c r="X10" s="3">
        <v>644.12</v>
      </c>
      <c r="AG10" s="5" t="s">
        <v>42</v>
      </c>
      <c r="AH10" s="13">
        <v>2.6776225746238606E-2</v>
      </c>
    </row>
    <row r="11" spans="1:34" ht="15.6" x14ac:dyDescent="0.4">
      <c r="H11" s="25" t="s">
        <v>153</v>
      </c>
      <c r="I11" s="24">
        <v>2.0176944773768074E-3</v>
      </c>
      <c r="W11" s="5" t="s">
        <v>86</v>
      </c>
      <c r="X11" s="3">
        <v>643.36</v>
      </c>
      <c r="AG11" s="5" t="s">
        <v>217</v>
      </c>
      <c r="AH11" s="6">
        <v>1.4300870146871919E-2</v>
      </c>
    </row>
    <row r="12" spans="1:34" ht="15.6" x14ac:dyDescent="0.4">
      <c r="H12" s="25" t="s">
        <v>164</v>
      </c>
      <c r="I12" s="24">
        <v>1.890499050694993E-3</v>
      </c>
      <c r="W12" s="5" t="s">
        <v>102</v>
      </c>
      <c r="X12" s="3">
        <v>642.24</v>
      </c>
      <c r="AG12" s="5" t="s">
        <v>235</v>
      </c>
      <c r="AH12" s="6">
        <v>1</v>
      </c>
    </row>
    <row r="13" spans="1:34" ht="15.6" x14ac:dyDescent="0.4">
      <c r="H13" s="25" t="s">
        <v>199</v>
      </c>
      <c r="I13" s="24">
        <v>1.8532940299418313E-3</v>
      </c>
      <c r="W13" s="5" t="s">
        <v>291</v>
      </c>
      <c r="X13" s="3">
        <v>630</v>
      </c>
    </row>
    <row r="14" spans="1:34" ht="15.6" x14ac:dyDescent="0.4">
      <c r="H14" s="25" t="s">
        <v>191</v>
      </c>
      <c r="I14" s="24">
        <v>1.8119829504529264E-3</v>
      </c>
      <c r="W14" s="5" t="s">
        <v>98</v>
      </c>
      <c r="X14" s="3">
        <v>622.9</v>
      </c>
    </row>
    <row r="15" spans="1:34" ht="15.6" x14ac:dyDescent="0.4">
      <c r="H15" s="25" t="s">
        <v>143</v>
      </c>
      <c r="I15" s="24">
        <v>1.7879360379458344E-3</v>
      </c>
      <c r="W15" s="5" t="s">
        <v>123</v>
      </c>
      <c r="X15" s="3">
        <v>595.67999999999995</v>
      </c>
    </row>
    <row r="16" spans="1:34" ht="15.6" x14ac:dyDescent="0.4">
      <c r="H16" s="25" t="s">
        <v>122</v>
      </c>
      <c r="I16" s="24">
        <v>1.766914539785881E-3</v>
      </c>
      <c r="W16" s="5" t="s">
        <v>122</v>
      </c>
      <c r="X16" s="3">
        <v>582.01</v>
      </c>
    </row>
    <row r="17" spans="8:24" ht="15.6" x14ac:dyDescent="0.4">
      <c r="H17" s="25" t="s">
        <v>187</v>
      </c>
      <c r="I17" s="24">
        <v>1.7576920727930055E-3</v>
      </c>
      <c r="W17" s="5" t="s">
        <v>143</v>
      </c>
      <c r="X17" s="3">
        <v>568.89</v>
      </c>
    </row>
    <row r="18" spans="8:24" ht="15.6" x14ac:dyDescent="0.4">
      <c r="H18" s="25" t="s">
        <v>132</v>
      </c>
      <c r="I18" s="24">
        <v>1.757126732643348E-3</v>
      </c>
      <c r="W18" s="5" t="s">
        <v>190</v>
      </c>
      <c r="X18" s="3">
        <v>558</v>
      </c>
    </row>
    <row r="19" spans="8:24" ht="15.6" x14ac:dyDescent="0.4">
      <c r="H19" s="25" t="s">
        <v>291</v>
      </c>
      <c r="I19" s="24">
        <v>1.7514834938364304E-3</v>
      </c>
      <c r="W19" s="5" t="s">
        <v>69</v>
      </c>
      <c r="X19" s="3">
        <v>553.9</v>
      </c>
    </row>
    <row r="20" spans="8:24" ht="15.6" x14ac:dyDescent="0.4">
      <c r="H20" s="25" t="s">
        <v>123</v>
      </c>
      <c r="I20" s="24">
        <v>1.7305978146903908E-3</v>
      </c>
      <c r="W20" s="5" t="s">
        <v>83</v>
      </c>
      <c r="X20" s="3">
        <v>534.51</v>
      </c>
    </row>
    <row r="21" spans="8:24" ht="15.6" x14ac:dyDescent="0.4">
      <c r="H21" s="25" t="s">
        <v>155</v>
      </c>
      <c r="I21" s="24">
        <v>1.6930275036570344E-3</v>
      </c>
      <c r="W21" s="5" t="s">
        <v>164</v>
      </c>
      <c r="X21" s="3">
        <v>532.30999999999995</v>
      </c>
    </row>
    <row r="22" spans="8:24" ht="15.6" x14ac:dyDescent="0.4">
      <c r="H22" s="25" t="s">
        <v>185</v>
      </c>
      <c r="I22" s="24">
        <v>1.6739016538353231E-3</v>
      </c>
      <c r="W22" s="5" t="s">
        <v>215</v>
      </c>
      <c r="X22" s="3">
        <v>512.36</v>
      </c>
    </row>
    <row r="23" spans="8:24" ht="15.6" x14ac:dyDescent="0.4">
      <c r="H23" s="25" t="s">
        <v>271</v>
      </c>
      <c r="I23" s="24">
        <v>1.6610078145925932E-3</v>
      </c>
      <c r="W23" s="5" t="s">
        <v>25</v>
      </c>
      <c r="X23" s="3">
        <v>502.84</v>
      </c>
    </row>
    <row r="24" spans="8:24" ht="15.6" x14ac:dyDescent="0.4">
      <c r="H24" s="25" t="s">
        <v>163</v>
      </c>
      <c r="I24" s="24">
        <v>1.6403630040852802E-3</v>
      </c>
      <c r="W24" s="5" t="s">
        <v>36</v>
      </c>
      <c r="X24" s="3">
        <v>502.78</v>
      </c>
    </row>
    <row r="25" spans="8:24" ht="15.6" x14ac:dyDescent="0.4">
      <c r="H25" s="25" t="s">
        <v>157</v>
      </c>
      <c r="I25" s="24">
        <v>1.6241294104163456E-3</v>
      </c>
      <c r="W25" s="5" t="s">
        <v>110</v>
      </c>
      <c r="X25" s="3">
        <v>502.66</v>
      </c>
    </row>
    <row r="26" spans="8:24" ht="15.6" x14ac:dyDescent="0.4">
      <c r="H26" s="25" t="s">
        <v>266</v>
      </c>
      <c r="I26" s="24">
        <v>1.6239122976996184E-3</v>
      </c>
      <c r="W26" s="5" t="s">
        <v>101</v>
      </c>
      <c r="X26" s="3">
        <v>476.1</v>
      </c>
    </row>
    <row r="27" spans="8:24" ht="15.6" x14ac:dyDescent="0.4">
      <c r="H27" s="25" t="s">
        <v>215</v>
      </c>
      <c r="I27" s="24">
        <v>1.6188918469570205E-3</v>
      </c>
      <c r="W27" s="5" t="s">
        <v>204</v>
      </c>
      <c r="X27" s="3">
        <v>464.95</v>
      </c>
    </row>
    <row r="28" spans="8:24" ht="15.6" x14ac:dyDescent="0.4">
      <c r="H28" s="25" t="s">
        <v>135</v>
      </c>
      <c r="I28" s="24">
        <v>1.5994852318321868E-3</v>
      </c>
      <c r="W28" s="5" t="s">
        <v>206</v>
      </c>
      <c r="X28" s="3">
        <v>454.94</v>
      </c>
    </row>
    <row r="29" spans="8:24" ht="15.6" x14ac:dyDescent="0.4">
      <c r="H29" s="25" t="s">
        <v>144</v>
      </c>
      <c r="I29" s="24">
        <v>1.5890869834532149E-3</v>
      </c>
      <c r="W29" s="5" t="s">
        <v>52</v>
      </c>
      <c r="X29" s="3">
        <v>446.98</v>
      </c>
    </row>
    <row r="30" spans="8:24" ht="15.6" x14ac:dyDescent="0.4">
      <c r="H30" s="25" t="s">
        <v>175</v>
      </c>
      <c r="I30" s="24">
        <v>1.5833481700397167E-3</v>
      </c>
      <c r="W30" s="5" t="s">
        <v>114</v>
      </c>
      <c r="X30" s="3">
        <v>432.06</v>
      </c>
    </row>
    <row r="31" spans="8:24" ht="15.6" x14ac:dyDescent="0.4">
      <c r="H31" s="25" t="s">
        <v>269</v>
      </c>
      <c r="I31" s="24">
        <v>1.5791269927628794E-3</v>
      </c>
      <c r="W31" s="5" t="s">
        <v>177</v>
      </c>
      <c r="X31" s="3">
        <v>423.95</v>
      </c>
    </row>
    <row r="32" spans="8:24" ht="15.6" x14ac:dyDescent="0.4">
      <c r="H32" s="25" t="s">
        <v>168</v>
      </c>
      <c r="I32" s="24">
        <v>1.5676660263390736E-3</v>
      </c>
      <c r="W32" s="5" t="s">
        <v>220</v>
      </c>
      <c r="X32" s="3">
        <v>419.09</v>
      </c>
    </row>
    <row r="33" spans="8:24" ht="15.6" x14ac:dyDescent="0.4">
      <c r="H33" s="25" t="s">
        <v>140</v>
      </c>
      <c r="I33" s="24">
        <v>1.5633497355080894E-3</v>
      </c>
      <c r="W33" s="5" t="s">
        <v>53</v>
      </c>
      <c r="X33" s="3">
        <v>412.3</v>
      </c>
    </row>
    <row r="34" spans="8:24" ht="15.6" x14ac:dyDescent="0.4">
      <c r="H34" s="25" t="s">
        <v>169</v>
      </c>
      <c r="I34" s="24">
        <v>1.562393090780759E-3</v>
      </c>
      <c r="W34" s="5" t="s">
        <v>285</v>
      </c>
      <c r="X34" s="3">
        <v>412.16</v>
      </c>
    </row>
    <row r="35" spans="8:24" ht="15.6" x14ac:dyDescent="0.4">
      <c r="H35" s="25" t="s">
        <v>165</v>
      </c>
      <c r="I35" s="24">
        <v>1.5496050865148677E-3</v>
      </c>
      <c r="W35" s="5" t="s">
        <v>132</v>
      </c>
      <c r="X35" s="3">
        <v>410.03</v>
      </c>
    </row>
    <row r="36" spans="8:24" ht="15.6" x14ac:dyDescent="0.4">
      <c r="H36" s="25" t="s">
        <v>204</v>
      </c>
      <c r="I36" s="24">
        <v>1.5446936629511271E-3</v>
      </c>
      <c r="W36" s="5" t="s">
        <v>165</v>
      </c>
      <c r="X36" s="3">
        <v>408.34</v>
      </c>
    </row>
    <row r="37" spans="8:24" ht="15.6" x14ac:dyDescent="0.4">
      <c r="H37" s="25" t="s">
        <v>128</v>
      </c>
      <c r="I37" s="24">
        <v>1.5283606226166153E-3</v>
      </c>
      <c r="W37" s="5" t="s">
        <v>182</v>
      </c>
      <c r="X37" s="3">
        <v>406.81</v>
      </c>
    </row>
    <row r="38" spans="8:24" ht="15.6" x14ac:dyDescent="0.4">
      <c r="H38" s="25" t="s">
        <v>268</v>
      </c>
      <c r="I38" s="24">
        <v>1.5206761093252688E-3</v>
      </c>
      <c r="W38" s="5" t="s">
        <v>61</v>
      </c>
      <c r="X38" s="3">
        <v>400.75</v>
      </c>
    </row>
    <row r="39" spans="8:24" ht="15.6" x14ac:dyDescent="0.4">
      <c r="H39" s="25" t="s">
        <v>151</v>
      </c>
      <c r="I39" s="24">
        <v>1.4794328709669003E-3</v>
      </c>
      <c r="W39" s="5" t="s">
        <v>267</v>
      </c>
      <c r="X39" s="3">
        <v>391.95</v>
      </c>
    </row>
    <row r="40" spans="8:24" ht="15.6" x14ac:dyDescent="0.4">
      <c r="H40" s="25" t="s">
        <v>182</v>
      </c>
      <c r="I40" s="24">
        <v>1.4749379926479564E-3</v>
      </c>
      <c r="W40" s="5" t="s">
        <v>73</v>
      </c>
      <c r="X40" s="3">
        <v>390.99</v>
      </c>
    </row>
    <row r="41" spans="8:24" ht="15.6" x14ac:dyDescent="0.4">
      <c r="H41" s="25" t="s">
        <v>206</v>
      </c>
      <c r="I41" s="24">
        <v>1.4656192633770741E-3</v>
      </c>
      <c r="W41" s="5" t="s">
        <v>144</v>
      </c>
      <c r="X41" s="3">
        <v>377.09</v>
      </c>
    </row>
    <row r="42" spans="8:24" ht="15.6" x14ac:dyDescent="0.4">
      <c r="H42" s="25" t="s">
        <v>154</v>
      </c>
      <c r="I42" s="24">
        <v>1.4368359474986776E-3</v>
      </c>
      <c r="W42" s="5" t="s">
        <v>200</v>
      </c>
      <c r="X42" s="3">
        <v>375.6</v>
      </c>
    </row>
    <row r="43" spans="8:24" ht="15.6" x14ac:dyDescent="0.4">
      <c r="H43" s="25" t="s">
        <v>167</v>
      </c>
      <c r="I43" s="24">
        <v>1.4332153730682153E-3</v>
      </c>
      <c r="W43" s="5" t="s">
        <v>214</v>
      </c>
      <c r="X43" s="3">
        <v>373.94</v>
      </c>
    </row>
    <row r="44" spans="8:24" ht="15.6" x14ac:dyDescent="0.4">
      <c r="H44" s="25" t="s">
        <v>177</v>
      </c>
      <c r="I44" s="24">
        <v>1.4307368763095134E-3</v>
      </c>
      <c r="W44" s="5" t="s">
        <v>289</v>
      </c>
      <c r="X44" s="3">
        <v>373.3</v>
      </c>
    </row>
    <row r="45" spans="8:24" ht="15.6" x14ac:dyDescent="0.4">
      <c r="H45" s="25" t="s">
        <v>141</v>
      </c>
      <c r="I45" s="24">
        <v>1.4302600543198692E-3</v>
      </c>
      <c r="W45" s="5" t="s">
        <v>31</v>
      </c>
      <c r="X45" s="3">
        <v>369.13</v>
      </c>
    </row>
    <row r="46" spans="8:24" ht="15.6" x14ac:dyDescent="0.4">
      <c r="H46" s="25" t="s">
        <v>166</v>
      </c>
      <c r="I46" s="24">
        <v>1.401526160918013E-3</v>
      </c>
      <c r="W46" s="5" t="s">
        <v>281</v>
      </c>
      <c r="X46" s="3">
        <v>367.23</v>
      </c>
    </row>
    <row r="47" spans="8:24" ht="15.6" x14ac:dyDescent="0.4">
      <c r="H47" s="25" t="s">
        <v>152</v>
      </c>
      <c r="I47" s="24">
        <v>1.3836493333965207E-3</v>
      </c>
      <c r="W47" s="5" t="s">
        <v>128</v>
      </c>
      <c r="X47" s="3">
        <v>367.08</v>
      </c>
    </row>
    <row r="48" spans="8:24" ht="15.6" x14ac:dyDescent="0.4">
      <c r="H48" s="25" t="s">
        <v>267</v>
      </c>
      <c r="I48" s="24">
        <v>1.3795560981699881E-3</v>
      </c>
      <c r="W48" s="5" t="s">
        <v>271</v>
      </c>
      <c r="X48" s="3">
        <v>363.74</v>
      </c>
    </row>
    <row r="49" spans="8:24" ht="15.6" x14ac:dyDescent="0.4">
      <c r="H49" s="25" t="s">
        <v>147</v>
      </c>
      <c r="I49" s="24">
        <v>1.3778728191785215E-3</v>
      </c>
      <c r="W49" s="5" t="s">
        <v>223</v>
      </c>
      <c r="X49" s="3">
        <v>354.8</v>
      </c>
    </row>
    <row r="50" spans="8:24" ht="15.6" x14ac:dyDescent="0.4">
      <c r="H50" s="25" t="s">
        <v>136</v>
      </c>
      <c r="I50" s="24">
        <v>1.3630246919795628E-3</v>
      </c>
      <c r="W50" s="5" t="s">
        <v>47</v>
      </c>
      <c r="X50" s="3">
        <v>347.96</v>
      </c>
    </row>
    <row r="51" spans="8:24" ht="15.6" x14ac:dyDescent="0.4">
      <c r="H51" s="25" t="s">
        <v>121</v>
      </c>
      <c r="I51" s="24">
        <v>1.353801201293996E-3</v>
      </c>
      <c r="W51" s="5" t="s">
        <v>113</v>
      </c>
      <c r="X51" s="3">
        <v>347.88</v>
      </c>
    </row>
    <row r="52" spans="8:24" ht="15.6" x14ac:dyDescent="0.4">
      <c r="H52" s="25" t="s">
        <v>159</v>
      </c>
      <c r="I52" s="24">
        <v>1.3525666005576086E-3</v>
      </c>
      <c r="W52" s="5" t="s">
        <v>91</v>
      </c>
      <c r="X52" s="3">
        <v>347.63</v>
      </c>
    </row>
    <row r="53" spans="8:24" ht="15.6" x14ac:dyDescent="0.4">
      <c r="H53" s="25" t="s">
        <v>138</v>
      </c>
      <c r="I53" s="24">
        <v>1.3521956291736993E-3</v>
      </c>
      <c r="W53" s="5" t="s">
        <v>278</v>
      </c>
      <c r="X53" s="3">
        <v>345.61</v>
      </c>
    </row>
    <row r="54" spans="8:24" ht="15.6" x14ac:dyDescent="0.4">
      <c r="H54" s="25" t="s">
        <v>193</v>
      </c>
      <c r="I54" s="24">
        <v>1.3360791584517773E-3</v>
      </c>
      <c r="W54" s="5" t="s">
        <v>95</v>
      </c>
      <c r="X54" s="3">
        <v>344.1</v>
      </c>
    </row>
    <row r="55" spans="8:24" ht="15.6" x14ac:dyDescent="0.4">
      <c r="H55" s="25" t="s">
        <v>162</v>
      </c>
      <c r="I55" s="24">
        <v>1.3226461301097078E-3</v>
      </c>
      <c r="W55" s="5" t="s">
        <v>175</v>
      </c>
      <c r="X55" s="3">
        <v>333.11</v>
      </c>
    </row>
    <row r="56" spans="8:24" ht="15.6" x14ac:dyDescent="0.4">
      <c r="H56" s="25" t="s">
        <v>270</v>
      </c>
      <c r="I56" s="24">
        <v>1.3112016678001328E-3</v>
      </c>
      <c r="W56" s="5" t="s">
        <v>74</v>
      </c>
      <c r="X56" s="3">
        <v>329.38</v>
      </c>
    </row>
    <row r="57" spans="8:24" ht="15.6" x14ac:dyDescent="0.4">
      <c r="H57" s="25" t="s">
        <v>130</v>
      </c>
      <c r="I57" s="24">
        <v>1.2904729535643657E-3</v>
      </c>
      <c r="W57" s="5" t="s">
        <v>151</v>
      </c>
      <c r="X57" s="3">
        <v>325.18</v>
      </c>
    </row>
    <row r="58" spans="8:24" ht="15.6" x14ac:dyDescent="0.4">
      <c r="H58" s="25" t="s">
        <v>142</v>
      </c>
      <c r="I58" s="24">
        <v>1.2794186549230516E-3</v>
      </c>
      <c r="W58" s="5" t="s">
        <v>168</v>
      </c>
      <c r="X58" s="3">
        <v>318.58999999999997</v>
      </c>
    </row>
    <row r="59" spans="8:24" ht="15.6" x14ac:dyDescent="0.4">
      <c r="H59" s="25" t="s">
        <v>127</v>
      </c>
      <c r="I59" s="24">
        <v>1.279240165115692E-3</v>
      </c>
      <c r="W59" s="5" t="s">
        <v>157</v>
      </c>
      <c r="X59" s="3">
        <v>309.05</v>
      </c>
    </row>
    <row r="60" spans="8:24" ht="15.6" x14ac:dyDescent="0.4">
      <c r="H60" s="25" t="s">
        <v>131</v>
      </c>
      <c r="I60" s="24">
        <v>1.2789415281699342E-3</v>
      </c>
      <c r="W60" s="5" t="s">
        <v>48</v>
      </c>
      <c r="X60" s="3">
        <v>299.88</v>
      </c>
    </row>
    <row r="61" spans="8:24" ht="15.6" x14ac:dyDescent="0.4">
      <c r="H61" s="25" t="s">
        <v>146</v>
      </c>
      <c r="I61" s="24">
        <v>1.2723970295360698E-3</v>
      </c>
      <c r="W61" s="5" t="s">
        <v>136</v>
      </c>
      <c r="X61" s="3">
        <v>297.69</v>
      </c>
    </row>
    <row r="62" spans="8:24" ht="15.6" x14ac:dyDescent="0.4">
      <c r="H62" s="25" t="s">
        <v>158</v>
      </c>
      <c r="I62" s="24">
        <v>1.2666774044996993E-3</v>
      </c>
      <c r="W62" s="5" t="s">
        <v>142</v>
      </c>
      <c r="X62" s="3">
        <v>296.79000000000002</v>
      </c>
    </row>
    <row r="63" spans="8:24" ht="15.6" x14ac:dyDescent="0.4">
      <c r="H63" s="25" t="s">
        <v>213</v>
      </c>
      <c r="I63" s="24">
        <v>1.2603024559446523E-3</v>
      </c>
      <c r="W63" s="5" t="s">
        <v>193</v>
      </c>
      <c r="X63" s="3">
        <v>293.95999999999998</v>
      </c>
    </row>
    <row r="64" spans="8:24" ht="15.6" x14ac:dyDescent="0.4">
      <c r="H64" s="25" t="s">
        <v>129</v>
      </c>
      <c r="I64" s="24">
        <v>1.2057298088250384E-3</v>
      </c>
      <c r="W64" s="5" t="s">
        <v>162</v>
      </c>
      <c r="X64" s="3">
        <v>282.11</v>
      </c>
    </row>
    <row r="65" spans="8:24" ht="15.6" x14ac:dyDescent="0.4">
      <c r="H65" s="25" t="s">
        <v>170</v>
      </c>
      <c r="I65" s="24">
        <v>1.2035818163311438E-3</v>
      </c>
      <c r="W65" s="5" t="s">
        <v>87</v>
      </c>
      <c r="X65" s="3">
        <v>280.35000000000002</v>
      </c>
    </row>
    <row r="66" spans="8:24" ht="15.6" x14ac:dyDescent="0.4">
      <c r="H66" s="25" t="s">
        <v>283</v>
      </c>
      <c r="I66" s="24">
        <v>1.1100897054481739E-3</v>
      </c>
      <c r="W66" s="5" t="s">
        <v>135</v>
      </c>
      <c r="X66" s="3">
        <v>279.95999999999998</v>
      </c>
    </row>
    <row r="67" spans="8:24" ht="15.6" x14ac:dyDescent="0.4">
      <c r="H67" s="25" t="s">
        <v>134</v>
      </c>
      <c r="I67" s="24">
        <v>1.0921114502985302E-3</v>
      </c>
      <c r="W67" s="5" t="s">
        <v>59</v>
      </c>
      <c r="X67" s="3">
        <v>276.05</v>
      </c>
    </row>
    <row r="68" spans="8:24" ht="15.6" x14ac:dyDescent="0.4">
      <c r="H68" s="25" t="s">
        <v>145</v>
      </c>
      <c r="I68" s="24">
        <v>1.0551180018184454E-3</v>
      </c>
      <c r="W68" s="5" t="s">
        <v>191</v>
      </c>
      <c r="X68" s="3">
        <v>274.14</v>
      </c>
    </row>
    <row r="69" spans="8:24" ht="15.6" x14ac:dyDescent="0.4">
      <c r="H69" s="25" t="s">
        <v>272</v>
      </c>
      <c r="I69" s="24">
        <v>8.3641944445190066E-4</v>
      </c>
      <c r="W69" s="5" t="s">
        <v>260</v>
      </c>
      <c r="X69" s="3">
        <v>273.83999999999997</v>
      </c>
    </row>
    <row r="70" spans="8:24" ht="15.6" x14ac:dyDescent="0.4">
      <c r="H70" s="25" t="s">
        <v>285</v>
      </c>
      <c r="I70" s="24">
        <v>8.0494916969204005E-4</v>
      </c>
      <c r="W70" s="5" t="s">
        <v>45</v>
      </c>
      <c r="X70" s="3">
        <v>272.77999999999997</v>
      </c>
    </row>
    <row r="71" spans="8:24" ht="15.6" x14ac:dyDescent="0.4">
      <c r="H71" s="25" t="s">
        <v>288</v>
      </c>
      <c r="I71" s="24">
        <v>6.6163207568036605E-4</v>
      </c>
      <c r="W71" s="5" t="s">
        <v>265</v>
      </c>
      <c r="X71" s="3">
        <v>263.83999999999997</v>
      </c>
    </row>
    <row r="72" spans="8:24" ht="15.6" x14ac:dyDescent="0.4">
      <c r="H72" s="25" t="s">
        <v>286</v>
      </c>
      <c r="I72" s="24">
        <v>5.8821889986536207E-4</v>
      </c>
      <c r="W72" s="5" t="s">
        <v>276</v>
      </c>
      <c r="X72" s="3">
        <v>258.39999999999998</v>
      </c>
    </row>
    <row r="73" spans="8:24" ht="15.6" x14ac:dyDescent="0.4">
      <c r="H73" s="25" t="s">
        <v>284</v>
      </c>
      <c r="I73" s="24">
        <v>5.6158792131396284E-4</v>
      </c>
      <c r="W73" s="5" t="s">
        <v>169</v>
      </c>
      <c r="X73" s="3">
        <v>257.18</v>
      </c>
    </row>
    <row r="74" spans="8:24" ht="15.6" x14ac:dyDescent="0.4">
      <c r="H74" s="25" t="s">
        <v>173</v>
      </c>
      <c r="I74" s="24">
        <v>4.7285225004703614E-4</v>
      </c>
      <c r="W74" s="5" t="s">
        <v>183</v>
      </c>
      <c r="X74" s="3">
        <v>254.9</v>
      </c>
    </row>
    <row r="75" spans="8:24" ht="15.6" x14ac:dyDescent="0.4">
      <c r="H75" s="25" t="s">
        <v>174</v>
      </c>
      <c r="I75" s="24">
        <v>3.971849498122741E-4</v>
      </c>
      <c r="W75" s="5" t="s">
        <v>266</v>
      </c>
      <c r="X75" s="3">
        <v>242.55</v>
      </c>
    </row>
    <row r="76" spans="8:24" ht="15.6" x14ac:dyDescent="0.4">
      <c r="H76" s="25" t="s">
        <v>287</v>
      </c>
      <c r="I76" s="24">
        <v>2.8293472283283996E-4</v>
      </c>
      <c r="W76" s="5" t="s">
        <v>282</v>
      </c>
      <c r="X76" s="3">
        <v>232.93</v>
      </c>
    </row>
    <row r="77" spans="8:24" ht="15.6" x14ac:dyDescent="0.4">
      <c r="H77" s="23" t="s">
        <v>72</v>
      </c>
      <c r="I77" s="24">
        <v>0.11336591607196722</v>
      </c>
      <c r="W77" s="5" t="s">
        <v>159</v>
      </c>
      <c r="X77" s="3">
        <v>232</v>
      </c>
    </row>
    <row r="78" spans="8:24" ht="15.6" x14ac:dyDescent="0.4">
      <c r="H78" s="25" t="s">
        <v>75</v>
      </c>
      <c r="I78" s="24">
        <v>5.4013829679389041E-3</v>
      </c>
      <c r="W78" s="5" t="s">
        <v>154</v>
      </c>
      <c r="X78" s="3">
        <v>231.96</v>
      </c>
    </row>
    <row r="79" spans="8:24" ht="15.6" x14ac:dyDescent="0.4">
      <c r="H79" s="25" t="s">
        <v>194</v>
      </c>
      <c r="I79" s="24">
        <v>4.6403628056654227E-3</v>
      </c>
      <c r="W79" s="5" t="s">
        <v>274</v>
      </c>
      <c r="X79" s="3">
        <v>227.51</v>
      </c>
    </row>
    <row r="80" spans="8:24" ht="15.6" x14ac:dyDescent="0.4">
      <c r="H80" s="25" t="s">
        <v>200</v>
      </c>
      <c r="I80" s="24">
        <v>3.5785977817590314E-3</v>
      </c>
      <c r="W80" s="5" t="s">
        <v>167</v>
      </c>
      <c r="X80" s="3">
        <v>227.39</v>
      </c>
    </row>
    <row r="81" spans="8:24" ht="15.6" x14ac:dyDescent="0.4">
      <c r="H81" s="25" t="s">
        <v>208</v>
      </c>
      <c r="I81" s="24">
        <v>2.9238253023941528E-3</v>
      </c>
      <c r="W81" s="5" t="s">
        <v>82</v>
      </c>
      <c r="X81" s="3">
        <v>227.33</v>
      </c>
    </row>
    <row r="82" spans="8:24" ht="15.6" x14ac:dyDescent="0.4">
      <c r="H82" s="25" t="s">
        <v>109</v>
      </c>
      <c r="I82" s="24">
        <v>2.9046128805042875E-3</v>
      </c>
      <c r="W82" s="5" t="s">
        <v>259</v>
      </c>
      <c r="X82" s="3">
        <v>222.86</v>
      </c>
    </row>
    <row r="83" spans="8:24" ht="15.6" x14ac:dyDescent="0.4">
      <c r="H83" s="25" t="s">
        <v>98</v>
      </c>
      <c r="I83" s="24">
        <v>2.8034426805139592E-3</v>
      </c>
      <c r="W83" s="5" t="s">
        <v>213</v>
      </c>
      <c r="X83" s="3">
        <v>221.16</v>
      </c>
    </row>
    <row r="84" spans="8:24" ht="15.6" x14ac:dyDescent="0.4">
      <c r="H84" s="25" t="s">
        <v>80</v>
      </c>
      <c r="I84" s="24">
        <v>2.7825365540652671E-3</v>
      </c>
      <c r="W84" s="5" t="s">
        <v>78</v>
      </c>
      <c r="X84" s="3">
        <v>215.15</v>
      </c>
    </row>
    <row r="85" spans="8:24" ht="15.6" x14ac:dyDescent="0.4">
      <c r="H85" s="25" t="s">
        <v>110</v>
      </c>
      <c r="I85" s="24">
        <v>2.5927132260972906E-3</v>
      </c>
      <c r="W85" s="5" t="s">
        <v>268</v>
      </c>
      <c r="X85" s="3">
        <v>214.65</v>
      </c>
    </row>
    <row r="86" spans="8:24" ht="15.6" x14ac:dyDescent="0.4">
      <c r="H86" s="25" t="s">
        <v>114</v>
      </c>
      <c r="I86" s="24">
        <v>2.4993699641300956E-3</v>
      </c>
      <c r="W86" s="5" t="s">
        <v>22</v>
      </c>
      <c r="X86" s="3">
        <v>213.29</v>
      </c>
    </row>
    <row r="87" spans="8:24" ht="15.6" x14ac:dyDescent="0.4">
      <c r="H87" s="25" t="s">
        <v>95</v>
      </c>
      <c r="I87" s="24">
        <v>2.4769563832933825E-3</v>
      </c>
      <c r="W87" s="5" t="s">
        <v>70</v>
      </c>
      <c r="X87" s="3">
        <v>213.09</v>
      </c>
    </row>
    <row r="88" spans="8:24" ht="15.6" x14ac:dyDescent="0.4">
      <c r="H88" s="25" t="s">
        <v>261</v>
      </c>
      <c r="I88" s="24">
        <v>2.4697533342334086E-3</v>
      </c>
      <c r="W88" s="5" t="s">
        <v>208</v>
      </c>
      <c r="X88" s="3">
        <v>210.2</v>
      </c>
    </row>
    <row r="89" spans="8:24" ht="15.6" x14ac:dyDescent="0.4">
      <c r="H89" s="25" t="s">
        <v>82</v>
      </c>
      <c r="I89" s="24">
        <v>2.4120727422516364E-3</v>
      </c>
      <c r="W89" s="5" t="s">
        <v>277</v>
      </c>
      <c r="X89" s="3">
        <v>207.21</v>
      </c>
    </row>
    <row r="90" spans="8:24" ht="15.6" x14ac:dyDescent="0.4">
      <c r="H90" s="25" t="s">
        <v>86</v>
      </c>
      <c r="I90" s="24">
        <v>2.353609915002516E-3</v>
      </c>
      <c r="W90" s="5" t="s">
        <v>264</v>
      </c>
      <c r="X90" s="3">
        <v>204.68</v>
      </c>
    </row>
    <row r="91" spans="8:24" ht="15.6" x14ac:dyDescent="0.4">
      <c r="H91" s="25" t="s">
        <v>263</v>
      </c>
      <c r="I91" s="24">
        <v>2.3533115913820677E-3</v>
      </c>
      <c r="W91" s="5" t="s">
        <v>104</v>
      </c>
      <c r="X91" s="3">
        <v>201.6</v>
      </c>
    </row>
    <row r="92" spans="8:24" ht="15.6" x14ac:dyDescent="0.4">
      <c r="H92" s="25" t="s">
        <v>101</v>
      </c>
      <c r="I92" s="24">
        <v>2.3228995771347521E-3</v>
      </c>
      <c r="W92" s="5" t="s">
        <v>90</v>
      </c>
      <c r="X92" s="3">
        <v>201.31</v>
      </c>
    </row>
    <row r="93" spans="8:24" ht="15.6" x14ac:dyDescent="0.4">
      <c r="H93" s="25" t="s">
        <v>180</v>
      </c>
      <c r="I93" s="24">
        <v>2.2398743285332061E-3</v>
      </c>
      <c r="W93" s="5" t="s">
        <v>263</v>
      </c>
      <c r="X93" s="3">
        <v>198.84</v>
      </c>
    </row>
    <row r="94" spans="8:24" ht="15.6" x14ac:dyDescent="0.4">
      <c r="H94" s="25" t="s">
        <v>91</v>
      </c>
      <c r="I94" s="24">
        <v>2.2078960614793086E-3</v>
      </c>
      <c r="W94" s="5" t="s">
        <v>270</v>
      </c>
      <c r="X94" s="3">
        <v>198.3</v>
      </c>
    </row>
    <row r="95" spans="8:24" ht="15.6" x14ac:dyDescent="0.4">
      <c r="H95" s="25" t="s">
        <v>104</v>
      </c>
      <c r="I95" s="24">
        <v>2.1902570380371695E-3</v>
      </c>
      <c r="W95" s="5" t="s">
        <v>288</v>
      </c>
      <c r="X95" s="3">
        <v>198.23</v>
      </c>
    </row>
    <row r="96" spans="8:24" ht="15.6" x14ac:dyDescent="0.4">
      <c r="H96" s="25" t="s">
        <v>102</v>
      </c>
      <c r="I96" s="24">
        <v>2.1834852987731054E-3</v>
      </c>
      <c r="W96" s="5" t="s">
        <v>127</v>
      </c>
      <c r="X96" s="3">
        <v>197.86</v>
      </c>
    </row>
    <row r="97" spans="8:24" ht="15.6" x14ac:dyDescent="0.4">
      <c r="H97" s="25" t="s">
        <v>73</v>
      </c>
      <c r="I97" s="24">
        <v>2.180193067388351E-3</v>
      </c>
      <c r="W97" s="5" t="s">
        <v>100</v>
      </c>
      <c r="X97" s="3">
        <v>192.65</v>
      </c>
    </row>
    <row r="98" spans="8:24" ht="15.6" x14ac:dyDescent="0.4">
      <c r="H98" s="25" t="s">
        <v>202</v>
      </c>
      <c r="I98" s="24">
        <v>2.1677171476472213E-3</v>
      </c>
      <c r="W98" s="5" t="s">
        <v>77</v>
      </c>
      <c r="X98" s="3">
        <v>190.64</v>
      </c>
    </row>
    <row r="99" spans="8:24" ht="15.6" x14ac:dyDescent="0.4">
      <c r="H99" s="25" t="s">
        <v>113</v>
      </c>
      <c r="I99" s="24">
        <v>2.1503483397977384E-3</v>
      </c>
      <c r="W99" s="5" t="s">
        <v>93</v>
      </c>
      <c r="X99" s="3">
        <v>189.64</v>
      </c>
    </row>
    <row r="100" spans="8:24" ht="15.6" x14ac:dyDescent="0.4">
      <c r="H100" s="25" t="s">
        <v>265</v>
      </c>
      <c r="I100" s="24">
        <v>2.1497516925568423E-3</v>
      </c>
      <c r="W100" s="5" t="s">
        <v>269</v>
      </c>
      <c r="X100" s="3">
        <v>189.56</v>
      </c>
    </row>
    <row r="101" spans="8:24" ht="15.6" x14ac:dyDescent="0.4">
      <c r="H101" s="25" t="s">
        <v>81</v>
      </c>
      <c r="I101" s="24">
        <v>2.144667538534208E-3</v>
      </c>
      <c r="W101" s="5" t="s">
        <v>284</v>
      </c>
      <c r="X101" s="3">
        <v>189.28</v>
      </c>
    </row>
    <row r="102" spans="8:24" ht="15.6" x14ac:dyDescent="0.4">
      <c r="H102" s="25" t="s">
        <v>90</v>
      </c>
      <c r="I102" s="24">
        <v>2.1307518355579507E-3</v>
      </c>
      <c r="W102" s="5" t="s">
        <v>166</v>
      </c>
      <c r="X102" s="3">
        <v>185.68</v>
      </c>
    </row>
    <row r="103" spans="8:24" ht="15.6" x14ac:dyDescent="0.4">
      <c r="H103" s="25" t="s">
        <v>83</v>
      </c>
      <c r="I103" s="24">
        <v>2.1112507076943669E-3</v>
      </c>
      <c r="W103" s="5" t="s">
        <v>44</v>
      </c>
      <c r="X103" s="3">
        <v>182.65</v>
      </c>
    </row>
    <row r="104" spans="8:24" ht="15.6" x14ac:dyDescent="0.4">
      <c r="H104" s="25" t="s">
        <v>214</v>
      </c>
      <c r="I104" s="24">
        <v>2.1073240647691066E-3</v>
      </c>
      <c r="W104" s="5" t="s">
        <v>233</v>
      </c>
      <c r="X104" s="3">
        <v>180.8</v>
      </c>
    </row>
    <row r="105" spans="8:24" ht="15.6" x14ac:dyDescent="0.4">
      <c r="H105" s="25" t="s">
        <v>87</v>
      </c>
      <c r="I105" s="24">
        <v>2.1030650695215156E-3</v>
      </c>
      <c r="W105" s="5" t="s">
        <v>158</v>
      </c>
      <c r="X105" s="3">
        <v>179.95</v>
      </c>
    </row>
    <row r="106" spans="8:24" ht="15.6" x14ac:dyDescent="0.4">
      <c r="H106" s="25" t="s">
        <v>220</v>
      </c>
      <c r="I106" s="24">
        <v>2.0761701729527676E-3</v>
      </c>
      <c r="W106" s="5" t="s">
        <v>103</v>
      </c>
      <c r="X106" s="3">
        <v>178.55</v>
      </c>
    </row>
    <row r="107" spans="8:24" ht="15.6" x14ac:dyDescent="0.4">
      <c r="H107" s="25" t="s">
        <v>112</v>
      </c>
      <c r="I107" s="24">
        <v>2.0355893485340493E-3</v>
      </c>
      <c r="W107" s="5" t="s">
        <v>141</v>
      </c>
      <c r="X107" s="3">
        <v>171.94</v>
      </c>
    </row>
    <row r="108" spans="8:24" ht="15.6" x14ac:dyDescent="0.4">
      <c r="H108" s="25" t="s">
        <v>103</v>
      </c>
      <c r="I108" s="24">
        <v>1.9657891366875848E-3</v>
      </c>
      <c r="W108" s="5" t="s">
        <v>112</v>
      </c>
      <c r="X108" s="3">
        <v>162.28</v>
      </c>
    </row>
    <row r="109" spans="8:24" ht="15.6" x14ac:dyDescent="0.4">
      <c r="H109" s="25" t="s">
        <v>264</v>
      </c>
      <c r="I109" s="24">
        <v>1.9631154805575548E-3</v>
      </c>
      <c r="W109" s="5" t="s">
        <v>130</v>
      </c>
      <c r="X109" s="3">
        <v>159.86000000000001</v>
      </c>
    </row>
    <row r="110" spans="8:24" ht="15.6" x14ac:dyDescent="0.4">
      <c r="H110" s="25" t="s">
        <v>226</v>
      </c>
      <c r="I110" s="24">
        <v>1.9564158488135511E-3</v>
      </c>
      <c r="W110" s="5" t="s">
        <v>62</v>
      </c>
      <c r="X110" s="3">
        <v>158</v>
      </c>
    </row>
    <row r="111" spans="8:24" ht="15.6" x14ac:dyDescent="0.4">
      <c r="H111" s="25" t="s">
        <v>74</v>
      </c>
      <c r="I111" s="24">
        <v>1.9496032000642016E-3</v>
      </c>
      <c r="W111" s="5" t="s">
        <v>202</v>
      </c>
      <c r="X111" s="3">
        <v>157.83000000000001</v>
      </c>
    </row>
    <row r="112" spans="8:24" ht="15.6" x14ac:dyDescent="0.4">
      <c r="H112" s="25" t="s">
        <v>108</v>
      </c>
      <c r="I112" s="24">
        <v>1.9153573810478089E-3</v>
      </c>
      <c r="W112" s="5" t="s">
        <v>147</v>
      </c>
      <c r="X112" s="3">
        <v>155.51</v>
      </c>
    </row>
    <row r="113" spans="8:24" ht="15.6" x14ac:dyDescent="0.4">
      <c r="H113" s="25" t="s">
        <v>115</v>
      </c>
      <c r="I113" s="24">
        <v>1.9120989300608041E-3</v>
      </c>
      <c r="W113" s="5" t="s">
        <v>152</v>
      </c>
      <c r="X113" s="3">
        <v>151.34</v>
      </c>
    </row>
    <row r="114" spans="8:24" ht="15.6" x14ac:dyDescent="0.4">
      <c r="H114" s="25" t="s">
        <v>78</v>
      </c>
      <c r="I114" s="24">
        <v>1.9070148863955625E-3</v>
      </c>
      <c r="W114" s="5" t="s">
        <v>185</v>
      </c>
      <c r="X114" s="3">
        <v>148.41</v>
      </c>
    </row>
    <row r="115" spans="8:24" ht="15.6" x14ac:dyDescent="0.4">
      <c r="H115" s="25" t="s">
        <v>205</v>
      </c>
      <c r="I115" s="24">
        <v>1.9023352087689279E-3</v>
      </c>
      <c r="W115" s="5" t="s">
        <v>106</v>
      </c>
      <c r="X115" s="3">
        <v>145.44</v>
      </c>
    </row>
    <row r="116" spans="8:24" ht="15.6" x14ac:dyDescent="0.4">
      <c r="H116" s="25" t="s">
        <v>93</v>
      </c>
      <c r="I116" s="24">
        <v>1.8815465412106176E-3</v>
      </c>
      <c r="W116" s="5" t="s">
        <v>131</v>
      </c>
      <c r="X116" s="3">
        <v>136.81</v>
      </c>
    </row>
    <row r="117" spans="8:24" ht="15.6" x14ac:dyDescent="0.4">
      <c r="H117" s="25" t="s">
        <v>100</v>
      </c>
      <c r="I117" s="24">
        <v>1.8660783635481939E-3</v>
      </c>
      <c r="W117" s="5" t="s">
        <v>121</v>
      </c>
      <c r="X117" s="3">
        <v>134.21</v>
      </c>
    </row>
    <row r="118" spans="8:24" ht="15.6" x14ac:dyDescent="0.4">
      <c r="H118" s="25" t="s">
        <v>77</v>
      </c>
      <c r="I118" s="24">
        <v>1.8584172264710921E-3</v>
      </c>
      <c r="W118" s="5" t="s">
        <v>140</v>
      </c>
      <c r="X118" s="3">
        <v>133.38</v>
      </c>
    </row>
    <row r="119" spans="8:24" ht="15.6" x14ac:dyDescent="0.4">
      <c r="H119" s="25" t="s">
        <v>106</v>
      </c>
      <c r="I119" s="24">
        <v>1.7965732032254997E-3</v>
      </c>
      <c r="W119" s="5" t="s">
        <v>146</v>
      </c>
      <c r="X119" s="3">
        <v>124.43</v>
      </c>
    </row>
    <row r="120" spans="8:24" ht="15.6" x14ac:dyDescent="0.4">
      <c r="H120" s="25" t="s">
        <v>88</v>
      </c>
      <c r="I120" s="24">
        <v>1.7953349988029535E-3</v>
      </c>
      <c r="W120" s="5" t="s">
        <v>262</v>
      </c>
      <c r="X120" s="3">
        <v>59.25</v>
      </c>
    </row>
    <row r="121" spans="8:24" ht="15.6" x14ac:dyDescent="0.4">
      <c r="H121" s="25" t="s">
        <v>262</v>
      </c>
      <c r="I121" s="24">
        <v>1.7478949217081623E-3</v>
      </c>
      <c r="W121" s="5" t="s">
        <v>129</v>
      </c>
      <c r="X121" s="3">
        <v>57.45</v>
      </c>
    </row>
    <row r="122" spans="8:24" ht="15.6" x14ac:dyDescent="0.4">
      <c r="H122" s="25" t="s">
        <v>228</v>
      </c>
      <c r="I122" s="24">
        <v>1.6754293746790393E-3</v>
      </c>
      <c r="W122" s="5" t="s">
        <v>283</v>
      </c>
      <c r="X122" s="3">
        <v>56.88</v>
      </c>
    </row>
    <row r="123" spans="8:24" ht="15.6" x14ac:dyDescent="0.4">
      <c r="H123" s="25" t="s">
        <v>216</v>
      </c>
      <c r="I123" s="24">
        <v>1.5065715288831451E-3</v>
      </c>
      <c r="W123" s="5" t="s">
        <v>115</v>
      </c>
      <c r="X123" s="3">
        <v>49.01</v>
      </c>
    </row>
    <row r="124" spans="8:24" ht="15.6" x14ac:dyDescent="0.4">
      <c r="H124" s="25" t="s">
        <v>280</v>
      </c>
      <c r="I124" s="24">
        <v>1.4506349699489095E-3</v>
      </c>
      <c r="W124" s="5" t="s">
        <v>280</v>
      </c>
      <c r="X124" s="3">
        <v>30.42</v>
      </c>
    </row>
    <row r="125" spans="8:24" ht="15.6" x14ac:dyDescent="0.4">
      <c r="H125" s="25" t="s">
        <v>105</v>
      </c>
      <c r="I125" s="24">
        <v>1.1752477319293578E-3</v>
      </c>
      <c r="W125" s="5" t="s">
        <v>56</v>
      </c>
      <c r="X125" s="3">
        <v>24.02</v>
      </c>
    </row>
    <row r="126" spans="8:24" ht="15.6" x14ac:dyDescent="0.4">
      <c r="H126" s="25" t="s">
        <v>281</v>
      </c>
      <c r="I126" s="24">
        <v>1.102378056130021E-3</v>
      </c>
      <c r="W126" s="5" t="s">
        <v>88</v>
      </c>
      <c r="X126" s="3">
        <v>22.09</v>
      </c>
    </row>
    <row r="127" spans="8:24" ht="15.6" x14ac:dyDescent="0.4">
      <c r="H127" s="25" t="s">
        <v>282</v>
      </c>
      <c r="I127" s="24">
        <v>9.6027980322217548E-4</v>
      </c>
      <c r="W127" s="5" t="s">
        <v>203</v>
      </c>
      <c r="X127" s="3">
        <v>18.190000000000001</v>
      </c>
    </row>
    <row r="128" spans="8:24" ht="15.6" x14ac:dyDescent="0.4">
      <c r="H128" s="25" t="s">
        <v>117</v>
      </c>
      <c r="I128" s="24">
        <v>7.6978143563975645E-4</v>
      </c>
      <c r="W128" s="5" t="s">
        <v>134</v>
      </c>
      <c r="X128" s="3">
        <v>14.73</v>
      </c>
    </row>
    <row r="129" spans="8:24" ht="15.6" x14ac:dyDescent="0.4">
      <c r="H129" s="25" t="s">
        <v>116</v>
      </c>
      <c r="I129" s="24">
        <v>7.644015127703037E-4</v>
      </c>
      <c r="W129" s="5" t="s">
        <v>279</v>
      </c>
      <c r="X129" s="3">
        <v>13.6</v>
      </c>
    </row>
    <row r="130" spans="8:24" ht="15.6" x14ac:dyDescent="0.4">
      <c r="H130" s="25" t="s">
        <v>97</v>
      </c>
      <c r="I130" s="24">
        <v>7.2913129022513163E-4</v>
      </c>
      <c r="W130" s="5" t="s">
        <v>81</v>
      </c>
      <c r="X130" s="3">
        <v>12.15</v>
      </c>
    </row>
    <row r="131" spans="8:24" ht="15.6" x14ac:dyDescent="0.4">
      <c r="H131" s="25" t="s">
        <v>279</v>
      </c>
      <c r="I131" s="24">
        <v>1.2069562303380372E-4</v>
      </c>
      <c r="W131" s="5" t="s">
        <v>261</v>
      </c>
      <c r="X131" s="3">
        <v>11.59</v>
      </c>
    </row>
    <row r="132" spans="8:24" ht="15.6" x14ac:dyDescent="0.4">
      <c r="H132" s="23" t="s">
        <v>20</v>
      </c>
      <c r="I132" s="24">
        <v>0.10105543311710836</v>
      </c>
      <c r="W132" s="5" t="s">
        <v>275</v>
      </c>
      <c r="X132" s="3">
        <v>10.59</v>
      </c>
    </row>
    <row r="133" spans="8:24" ht="15.6" x14ac:dyDescent="0.4">
      <c r="H133" s="25" t="s">
        <v>198</v>
      </c>
      <c r="I133" s="24">
        <v>4.7452647121830711E-3</v>
      </c>
      <c r="W133" s="5" t="s">
        <v>287</v>
      </c>
      <c r="X133" s="3">
        <v>8.5399999999999991</v>
      </c>
    </row>
    <row r="134" spans="8:24" ht="15.6" x14ac:dyDescent="0.4">
      <c r="H134" s="25" t="s">
        <v>54</v>
      </c>
      <c r="I134" s="24">
        <v>4.0494631074877233E-3</v>
      </c>
      <c r="W134" s="5" t="s">
        <v>163</v>
      </c>
      <c r="X134" s="3">
        <v>4.17</v>
      </c>
    </row>
    <row r="135" spans="8:24" ht="15.6" x14ac:dyDescent="0.4">
      <c r="H135" s="25" t="s">
        <v>189</v>
      </c>
      <c r="I135" s="24">
        <v>3.1468098179123997E-3</v>
      </c>
      <c r="W135" s="5" t="s">
        <v>272</v>
      </c>
      <c r="X135" s="3">
        <v>4.0999999999999996</v>
      </c>
    </row>
    <row r="136" spans="8:24" ht="15.6" x14ac:dyDescent="0.4">
      <c r="H136" s="25" t="s">
        <v>69</v>
      </c>
      <c r="I136" s="24">
        <v>3.0537447533621675E-3</v>
      </c>
      <c r="W136" s="5" t="s">
        <v>138</v>
      </c>
      <c r="X136" s="3">
        <v>3.48</v>
      </c>
    </row>
    <row r="137" spans="8:24" ht="15.6" x14ac:dyDescent="0.4">
      <c r="H137" s="25" t="s">
        <v>56</v>
      </c>
      <c r="I137" s="24">
        <v>3.0366275529164159E-3</v>
      </c>
      <c r="W137" s="5" t="s">
        <v>194</v>
      </c>
      <c r="X137" s="3">
        <v>0</v>
      </c>
    </row>
    <row r="138" spans="8:24" ht="15.6" x14ac:dyDescent="0.4">
      <c r="H138" s="25" t="s">
        <v>48</v>
      </c>
      <c r="I138" s="24">
        <v>2.9741802491005543E-3</v>
      </c>
      <c r="W138" s="5" t="s">
        <v>63</v>
      </c>
      <c r="X138" s="3">
        <v>0</v>
      </c>
    </row>
    <row r="139" spans="8:24" ht="15.6" x14ac:dyDescent="0.4">
      <c r="H139" s="25" t="s">
        <v>192</v>
      </c>
      <c r="I139" s="24">
        <v>2.9448110001637951E-3</v>
      </c>
      <c r="W139" s="5" t="s">
        <v>198</v>
      </c>
      <c r="X139" s="3">
        <v>0</v>
      </c>
    </row>
    <row r="140" spans="8:24" ht="15.6" x14ac:dyDescent="0.4">
      <c r="H140" s="25" t="s">
        <v>36</v>
      </c>
      <c r="I140" s="24">
        <v>2.7879204746466212E-3</v>
      </c>
      <c r="W140" s="5" t="s">
        <v>145</v>
      </c>
      <c r="X140" s="3">
        <v>0</v>
      </c>
    </row>
    <row r="141" spans="8:24" ht="15.6" x14ac:dyDescent="0.4">
      <c r="H141" s="25" t="s">
        <v>223</v>
      </c>
      <c r="I141" s="24">
        <v>2.7486617849748346E-3</v>
      </c>
      <c r="W141" s="5" t="s">
        <v>68</v>
      </c>
      <c r="X141" s="3">
        <v>0</v>
      </c>
    </row>
    <row r="142" spans="8:24" ht="15.6" x14ac:dyDescent="0.4">
      <c r="H142" s="25" t="s">
        <v>190</v>
      </c>
      <c r="I142" s="24">
        <v>2.6674714070406987E-3</v>
      </c>
      <c r="W142" s="5" t="s">
        <v>173</v>
      </c>
      <c r="X142" s="3"/>
    </row>
    <row r="143" spans="8:24" ht="15.6" x14ac:dyDescent="0.4">
      <c r="H143" s="25" t="s">
        <v>52</v>
      </c>
      <c r="I143" s="24">
        <v>2.6528957898173185E-3</v>
      </c>
      <c r="W143" s="5" t="s">
        <v>105</v>
      </c>
      <c r="X143" s="3">
        <v>0</v>
      </c>
    </row>
    <row r="144" spans="8:24" ht="15.6" x14ac:dyDescent="0.4">
      <c r="H144" s="25" t="s">
        <v>203</v>
      </c>
      <c r="I144" s="24">
        <v>2.6449349742321722E-3</v>
      </c>
      <c r="W144" s="5" t="s">
        <v>155</v>
      </c>
      <c r="X144" s="3">
        <v>0</v>
      </c>
    </row>
    <row r="145" spans="8:24" ht="15.6" x14ac:dyDescent="0.4">
      <c r="H145" s="25" t="s">
        <v>47</v>
      </c>
      <c r="I145" s="24">
        <v>2.6292259817079044E-3</v>
      </c>
      <c r="W145" s="5" t="s">
        <v>196</v>
      </c>
      <c r="X145" s="3">
        <v>0</v>
      </c>
    </row>
    <row r="146" spans="8:24" ht="15.6" x14ac:dyDescent="0.4">
      <c r="H146" s="25" t="s">
        <v>53</v>
      </c>
      <c r="I146" s="24">
        <v>2.6220240747401023E-3</v>
      </c>
      <c r="W146" s="5" t="s">
        <v>211</v>
      </c>
      <c r="X146" s="3">
        <v>0</v>
      </c>
    </row>
    <row r="147" spans="8:24" ht="15.6" x14ac:dyDescent="0.4">
      <c r="H147" s="25" t="s">
        <v>22</v>
      </c>
      <c r="I147" s="24">
        <v>2.5791666950976651E-3</v>
      </c>
      <c r="W147" s="5" t="s">
        <v>38</v>
      </c>
      <c r="X147" s="3">
        <v>0</v>
      </c>
    </row>
    <row r="148" spans="8:24" ht="15.6" x14ac:dyDescent="0.4">
      <c r="H148" s="25" t="s">
        <v>25</v>
      </c>
      <c r="I148" s="24">
        <v>2.575544975195678E-3</v>
      </c>
      <c r="W148" s="5" t="s">
        <v>161</v>
      </c>
      <c r="X148" s="3"/>
    </row>
    <row r="149" spans="8:24" ht="15.6" x14ac:dyDescent="0.4">
      <c r="H149" s="25" t="s">
        <v>31</v>
      </c>
      <c r="I149" s="24">
        <v>2.524654492303617E-3</v>
      </c>
      <c r="W149" s="5" t="s">
        <v>40</v>
      </c>
      <c r="X149" s="3">
        <v>0</v>
      </c>
    </row>
    <row r="150" spans="8:24" ht="15.6" x14ac:dyDescent="0.4">
      <c r="H150" s="25" t="s">
        <v>45</v>
      </c>
      <c r="I150" s="24">
        <v>2.5079414408329119E-3</v>
      </c>
      <c r="W150" s="5" t="s">
        <v>51</v>
      </c>
      <c r="X150" s="3">
        <v>0</v>
      </c>
    </row>
    <row r="151" spans="8:24" ht="15.6" x14ac:dyDescent="0.4">
      <c r="H151" s="25" t="s">
        <v>260</v>
      </c>
      <c r="I151" s="24">
        <v>2.4782875287848644E-3</v>
      </c>
      <c r="W151" s="5" t="s">
        <v>174</v>
      </c>
      <c r="X151" s="3"/>
    </row>
    <row r="152" spans="8:24" ht="15.6" x14ac:dyDescent="0.4">
      <c r="H152" s="25" t="s">
        <v>61</v>
      </c>
      <c r="I152" s="24">
        <v>2.388789333420154E-3</v>
      </c>
      <c r="W152" s="5" t="s">
        <v>67</v>
      </c>
      <c r="X152" s="3">
        <v>0</v>
      </c>
    </row>
    <row r="153" spans="8:24" ht="15.6" x14ac:dyDescent="0.4">
      <c r="H153" s="25" t="s">
        <v>70</v>
      </c>
      <c r="I153" s="24">
        <v>2.3515740105961502E-3</v>
      </c>
      <c r="W153" s="5" t="s">
        <v>28</v>
      </c>
      <c r="X153" s="3">
        <v>0</v>
      </c>
    </row>
    <row r="154" spans="8:24" ht="15.6" x14ac:dyDescent="0.4">
      <c r="H154" s="25" t="s">
        <v>207</v>
      </c>
      <c r="I154" s="24">
        <v>2.2738964604686589E-3</v>
      </c>
      <c r="W154" s="5" t="s">
        <v>108</v>
      </c>
      <c r="X154" s="3">
        <v>0</v>
      </c>
    </row>
    <row r="155" spans="8:24" ht="15.6" x14ac:dyDescent="0.4">
      <c r="H155" s="25" t="s">
        <v>274</v>
      </c>
      <c r="I155" s="24">
        <v>2.2331368180519024E-3</v>
      </c>
      <c r="W155" s="5" t="s">
        <v>230</v>
      </c>
      <c r="X155" s="3">
        <v>0</v>
      </c>
    </row>
    <row r="156" spans="8:24" ht="15.6" x14ac:dyDescent="0.4">
      <c r="H156" s="25" t="s">
        <v>259</v>
      </c>
      <c r="I156" s="24">
        <v>2.23041317335234E-3</v>
      </c>
      <c r="W156" s="5" t="s">
        <v>109</v>
      </c>
      <c r="X156" s="3">
        <v>0</v>
      </c>
    </row>
    <row r="157" spans="8:24" ht="15.6" x14ac:dyDescent="0.4">
      <c r="H157" s="25" t="s">
        <v>59</v>
      </c>
      <c r="I157" s="24">
        <v>2.2159180490289735E-3</v>
      </c>
      <c r="W157" s="5" t="s">
        <v>117</v>
      </c>
      <c r="X157" s="3"/>
    </row>
    <row r="158" spans="8:24" ht="15.6" x14ac:dyDescent="0.4">
      <c r="H158" s="25" t="s">
        <v>44</v>
      </c>
      <c r="I158" s="24">
        <v>2.1806144473852495E-3</v>
      </c>
      <c r="W158" s="5" t="s">
        <v>184</v>
      </c>
      <c r="X158" s="3">
        <v>0</v>
      </c>
    </row>
    <row r="159" spans="8:24" ht="15.6" x14ac:dyDescent="0.4">
      <c r="H159" s="25" t="s">
        <v>62</v>
      </c>
      <c r="I159" s="24">
        <v>2.100605919467475E-3</v>
      </c>
      <c r="W159" s="5" t="s">
        <v>97</v>
      </c>
      <c r="X159" s="3">
        <v>0</v>
      </c>
    </row>
    <row r="160" spans="8:24" ht="15.6" x14ac:dyDescent="0.4">
      <c r="H160" s="25" t="s">
        <v>38</v>
      </c>
      <c r="I160" s="24">
        <v>2.0608827555604996E-3</v>
      </c>
      <c r="W160" s="5" t="s">
        <v>54</v>
      </c>
      <c r="X160" s="3">
        <v>0</v>
      </c>
    </row>
    <row r="161" spans="8:24" ht="15.6" x14ac:dyDescent="0.4">
      <c r="H161" s="25" t="s">
        <v>58</v>
      </c>
      <c r="I161" s="24">
        <v>2.0318725169333656E-3</v>
      </c>
      <c r="W161" s="5" t="s">
        <v>116</v>
      </c>
      <c r="X161" s="3"/>
    </row>
    <row r="162" spans="8:24" ht="15.6" x14ac:dyDescent="0.4">
      <c r="H162" s="25" t="s">
        <v>28</v>
      </c>
      <c r="I162" s="24">
        <v>2.0281205660596571E-3</v>
      </c>
      <c r="W162" s="5" t="s">
        <v>156</v>
      </c>
      <c r="X162" s="3">
        <v>0</v>
      </c>
    </row>
    <row r="163" spans="8:24" ht="15.6" x14ac:dyDescent="0.4">
      <c r="H163" s="25" t="s">
        <v>289</v>
      </c>
      <c r="I163" s="24">
        <v>2.025818040104546E-3</v>
      </c>
      <c r="W163" s="5" t="s">
        <v>226</v>
      </c>
      <c r="X163" s="3"/>
    </row>
    <row r="164" spans="8:24" ht="15.6" x14ac:dyDescent="0.4">
      <c r="H164" s="25" t="s">
        <v>292</v>
      </c>
      <c r="I164" s="24">
        <v>2.0011365336914701E-3</v>
      </c>
      <c r="W164" s="5" t="s">
        <v>148</v>
      </c>
      <c r="X164" s="3"/>
    </row>
    <row r="165" spans="8:24" ht="15.6" x14ac:dyDescent="0.4">
      <c r="H165" s="25" t="s">
        <v>233</v>
      </c>
      <c r="I165" s="24">
        <v>1.9436011852308104E-3</v>
      </c>
      <c r="W165" s="5" t="s">
        <v>216</v>
      </c>
      <c r="X165" s="3">
        <v>0</v>
      </c>
    </row>
    <row r="166" spans="8:24" ht="15.6" x14ac:dyDescent="0.4">
      <c r="H166" s="25" t="s">
        <v>184</v>
      </c>
      <c r="I166" s="24">
        <v>1.8581864598913973E-3</v>
      </c>
      <c r="W166" s="5" t="s">
        <v>228</v>
      </c>
      <c r="X166" s="3"/>
    </row>
    <row r="167" spans="8:24" ht="15.6" x14ac:dyDescent="0.4">
      <c r="H167" s="25" t="s">
        <v>35</v>
      </c>
      <c r="I167" s="24">
        <v>1.6916603163824333E-3</v>
      </c>
      <c r="W167" s="5" t="s">
        <v>205</v>
      </c>
      <c r="X167" s="3">
        <v>0</v>
      </c>
    </row>
    <row r="168" spans="8:24" ht="15.6" x14ac:dyDescent="0.4">
      <c r="H168" s="25" t="s">
        <v>51</v>
      </c>
      <c r="I168" s="24">
        <v>1.6214782456274695E-3</v>
      </c>
      <c r="W168" s="5" t="s">
        <v>286</v>
      </c>
      <c r="X168" s="3">
        <v>0</v>
      </c>
    </row>
    <row r="169" spans="8:24" ht="15.6" x14ac:dyDescent="0.4">
      <c r="H169" s="25" t="s">
        <v>40</v>
      </c>
      <c r="I169" s="24">
        <v>1.5773134173031386E-3</v>
      </c>
      <c r="W169" s="5" t="s">
        <v>58</v>
      </c>
      <c r="X169" s="3">
        <v>0</v>
      </c>
    </row>
    <row r="170" spans="8:24" ht="15.6" x14ac:dyDescent="0.4">
      <c r="H170" s="25" t="s">
        <v>258</v>
      </c>
      <c r="I170" s="24">
        <v>1.3561259620646891E-3</v>
      </c>
      <c r="W170" s="5" t="s">
        <v>75</v>
      </c>
      <c r="X170" s="3">
        <v>0</v>
      </c>
    </row>
    <row r="171" spans="8:24" ht="15.6" x14ac:dyDescent="0.4">
      <c r="H171" s="25" t="s">
        <v>277</v>
      </c>
      <c r="I171" s="24">
        <v>1.2055636471402086E-3</v>
      </c>
      <c r="W171" s="5" t="s">
        <v>35</v>
      </c>
      <c r="X171" s="3">
        <v>0</v>
      </c>
    </row>
    <row r="172" spans="8:24" ht="15.6" x14ac:dyDescent="0.4">
      <c r="H172" s="25" t="s">
        <v>278</v>
      </c>
      <c r="I172" s="24">
        <v>1.1846753151779346E-3</v>
      </c>
      <c r="W172" s="5" t="s">
        <v>258</v>
      </c>
      <c r="X172" s="3">
        <v>0</v>
      </c>
    </row>
    <row r="173" spans="8:24" ht="15.6" x14ac:dyDescent="0.4">
      <c r="H173" s="25" t="s">
        <v>276</v>
      </c>
      <c r="I173" s="24">
        <v>1.1527793406145067E-3</v>
      </c>
      <c r="W173" s="5" t="s">
        <v>170</v>
      </c>
      <c r="X173" s="3">
        <v>0</v>
      </c>
    </row>
    <row r="174" spans="8:24" ht="15.6" x14ac:dyDescent="0.4">
      <c r="H174" s="25" t="s">
        <v>68</v>
      </c>
      <c r="I174" s="24">
        <v>9.0165471175254308E-4</v>
      </c>
      <c r="W174" s="5" t="s">
        <v>207</v>
      </c>
      <c r="X174" s="3">
        <v>0</v>
      </c>
    </row>
    <row r="175" spans="8:24" ht="15.6" x14ac:dyDescent="0.4">
      <c r="H175" s="25" t="s">
        <v>63</v>
      </c>
      <c r="I175" s="24">
        <v>8.4655904235807764E-4</v>
      </c>
      <c r="W175" s="5" t="s">
        <v>65</v>
      </c>
      <c r="X175" s="3">
        <v>0</v>
      </c>
    </row>
    <row r="176" spans="8:24" ht="19.2" x14ac:dyDescent="0.45">
      <c r="H176" s="25" t="s">
        <v>67</v>
      </c>
      <c r="I176" s="24">
        <v>8.2333320526498176E-4</v>
      </c>
      <c r="W176" s="5" t="s">
        <v>235</v>
      </c>
      <c r="X176" s="28">
        <v>41904.339999999982</v>
      </c>
    </row>
    <row r="177" spans="8:9" ht="15.6" x14ac:dyDescent="0.4">
      <c r="H177" s="25" t="s">
        <v>275</v>
      </c>
      <c r="I177" s="24">
        <v>7.3768620661808244E-4</v>
      </c>
    </row>
    <row r="178" spans="8:9" ht="15.6" x14ac:dyDescent="0.4">
      <c r="H178" s="25" t="s">
        <v>65</v>
      </c>
      <c r="I178" s="24">
        <v>6.6240662506114362E-4</v>
      </c>
    </row>
    <row r="179" spans="8:9" ht="15.6" x14ac:dyDescent="0.4">
      <c r="H179" s="23" t="s">
        <v>235</v>
      </c>
      <c r="I179" s="24">
        <v>0.32945203958582958</v>
      </c>
    </row>
    <row r="180" spans="8:9" ht="15.6" x14ac:dyDescent="0.4"/>
    <row r="181" spans="8:9" ht="15.6" x14ac:dyDescent="0.4"/>
    <row r="182" spans="8:9" ht="15.6" x14ac:dyDescent="0.4"/>
    <row r="183" spans="8:9" ht="15.6" x14ac:dyDescent="0.4"/>
    <row r="184" spans="8:9" ht="15.6" x14ac:dyDescent="0.4"/>
    <row r="185" spans="8:9" ht="15.6" x14ac:dyDescent="0.4"/>
    <row r="186" spans="8:9" ht="15.6" x14ac:dyDescent="0.4"/>
    <row r="187" spans="8:9" ht="15.6" x14ac:dyDescent="0.4"/>
    <row r="188" spans="8:9" ht="15.6" x14ac:dyDescent="0.4"/>
    <row r="189" spans="8:9" ht="15.6" x14ac:dyDescent="0.4"/>
    <row r="190" spans="8:9" ht="15.6" x14ac:dyDescent="0.4"/>
    <row r="191" spans="8:9" ht="15.6" x14ac:dyDescent="0.4"/>
    <row r="192" spans="8:9" ht="15.6" x14ac:dyDescent="0.4"/>
    <row r="193" ht="15.6" x14ac:dyDescent="0.4"/>
    <row r="194" ht="15.6" x14ac:dyDescent="0.4"/>
    <row r="195" ht="15.6" x14ac:dyDescent="0.4"/>
    <row r="196" ht="15.6" x14ac:dyDescent="0.4"/>
    <row r="197" ht="15.6" x14ac:dyDescent="0.4"/>
    <row r="198" ht="15.6" x14ac:dyDescent="0.4"/>
    <row r="199" ht="19.2" x14ac:dyDescent="0.45"/>
    <row r="200" ht="15.6" x14ac:dyDescent="0.4"/>
    <row r="201" ht="15.6" x14ac:dyDescent="0.4"/>
    <row r="202" ht="15.6" x14ac:dyDescent="0.4"/>
  </sheetData>
  <sortState xmlns:xlrd2="http://schemas.microsoft.com/office/spreadsheetml/2017/richdata2" ref="L1:R2">
    <sortCondition descending="1" ref="L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1BFE5-3968-4CFC-AC9A-B41F1E885235}">
  <sheetPr codeName="Planilha3"/>
  <dimension ref="A1"/>
  <sheetViews>
    <sheetView showGridLines="0" showRowColHeaders="0" tabSelected="1" workbookViewId="0">
      <selection activeCell="E43" sqref="E4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A19175-5E8F-4ECD-AE78-8A5AEBEA27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FOLHA-ADM</vt:lpstr>
      <vt:lpstr>Plan1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 Fernandes</dc:creator>
  <cp:lastModifiedBy>Guilherme Henrique Fernandes</cp:lastModifiedBy>
  <dcterms:created xsi:type="dcterms:W3CDTF">2015-06-05T18:19:34Z</dcterms:created>
  <dcterms:modified xsi:type="dcterms:W3CDTF">2025-05-21T15:20:57Z</dcterms:modified>
</cp:coreProperties>
</file>